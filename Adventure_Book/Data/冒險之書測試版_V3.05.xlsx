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c/Desktop/GitHub/Project/Adventure_Book/Data/"/>
    </mc:Choice>
  </mc:AlternateContent>
  <xr:revisionPtr revIDLastSave="0" documentId="13_ncr:1_{9730A505-7B04-FA41-B562-13D9CA540731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Character_Profile" sheetId="21" r:id="rId1"/>
    <sheet name="config" sheetId="22" r:id="rId2"/>
    <sheet name="Character_Status" sheetId="15" r:id="rId3"/>
    <sheet name="Input_2026_7" sheetId="3" r:id="rId4"/>
    <sheet name="Input_2026_8" sheetId="8" r:id="rId5"/>
    <sheet name="Skill_Master" sheetId="1" r:id="rId6"/>
    <sheet name="Task_Master" sheetId="2" r:id="rId7"/>
    <sheet name="Quest_Master" sheetId="7" r:id="rId8"/>
    <sheet name="EXP_Calculation" sheetId="27" r:id="rId9"/>
  </sheets>
  <definedNames>
    <definedName name="_xlnm._FilterDatabase" localSheetId="6" hidden="1">Task_Master!$A$1:$L$23</definedName>
    <definedName name="外部資料_5" localSheetId="8" hidden="1">EXP_Calculation!$A$1:$I$41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5" l="1"/>
  <c r="E4" i="15" s="1"/>
  <c r="E5" i="15" s="1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F3" i="15"/>
  <c r="F4" i="15" s="1"/>
  <c r="F5" i="15" s="1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G3" i="15"/>
  <c r="G4" i="15" s="1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H3" i="15"/>
  <c r="H4" i="15" s="1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I3" i="15"/>
  <c r="I4" i="15" s="1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J3" i="15"/>
  <c r="J4" i="15" s="1"/>
  <c r="J5" i="15" s="1"/>
  <c r="J6" i="15" s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K3" i="15"/>
  <c r="K4" i="15" s="1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D3" i="15"/>
  <c r="D4" i="15" s="1"/>
  <c r="D5" i="15" s="1"/>
  <c r="D6" i="15" s="1"/>
  <c r="D7" i="15" s="1"/>
  <c r="D8" i="15" s="1"/>
  <c r="D9" i="15" s="1"/>
  <c r="D10" i="15" s="1"/>
  <c r="D11" i="15" s="1"/>
  <c r="D12" i="15" s="1"/>
  <c r="D13" i="15" s="1"/>
  <c r="D14" i="15" s="1"/>
  <c r="D15" i="15" s="1"/>
  <c r="D16" i="15" s="1"/>
  <c r="D17" i="15" s="1"/>
  <c r="A2" i="15"/>
  <c r="F20" i="15" l="1"/>
  <c r="D18" i="15"/>
  <c r="B17" i="15"/>
  <c r="A17" i="15" s="1"/>
  <c r="B3" i="15"/>
  <c r="B18" i="15" l="1"/>
  <c r="A18" i="15" s="1"/>
  <c r="D19" i="15"/>
  <c r="F21" i="15"/>
  <c r="B4" i="15"/>
  <c r="A4" i="15" s="1"/>
  <c r="A3" i="15"/>
  <c r="B19" i="15" l="1"/>
  <c r="A19" i="15" s="1"/>
  <c r="D20" i="15"/>
  <c r="F22" i="15"/>
  <c r="H2" i="22" s="1" a="1"/>
  <c r="L2" i="22" a="1"/>
  <c r="K2" i="22" a="1"/>
  <c r="G2" i="22" a="1"/>
  <c r="B5" i="15"/>
  <c r="B20" i="15" l="1"/>
  <c r="A20" i="15" s="1"/>
  <c r="D21" i="15"/>
  <c r="B18" i="21"/>
  <c r="C18" i="21" s="1"/>
  <c r="C17" i="21" s="1"/>
  <c r="B17" i="21"/>
  <c r="J2" i="22" a="1"/>
  <c r="B9" i="21"/>
  <c r="B10" i="21"/>
  <c r="C10" i="21" s="1"/>
  <c r="C9" i="21" s="1"/>
  <c r="B15" i="21"/>
  <c r="B16" i="21"/>
  <c r="C16" i="21" s="1"/>
  <c r="C15" i="21" s="1"/>
  <c r="B7" i="21"/>
  <c r="B8" i="21"/>
  <c r="C8" i="21" s="1"/>
  <c r="C7" i="21" s="1"/>
  <c r="B6" i="15"/>
  <c r="A5" i="15"/>
  <c r="B21" i="15" l="1"/>
  <c r="A21" i="15" s="1"/>
  <c r="D22" i="15"/>
  <c r="B22" i="15" s="1"/>
  <c r="A22" i="15" s="1"/>
  <c r="B13" i="21"/>
  <c r="B14" i="21"/>
  <c r="C14" i="21" s="1"/>
  <c r="C13" i="21" s="1"/>
  <c r="B7" i="15"/>
  <c r="A7" i="15" s="1"/>
  <c r="A6" i="15"/>
  <c r="B8" i="15" l="1"/>
  <c r="A8" i="15" s="1"/>
  <c r="M2" i="22" l="1" a="1"/>
  <c r="I2" i="22" a="1"/>
  <c r="B9" i="15"/>
  <c r="A9" i="15" s="1"/>
  <c r="B12" i="21" l="1"/>
  <c r="C12" i="21" s="1"/>
  <c r="C11" i="21" s="1"/>
  <c r="B11" i="21"/>
  <c r="B19" i="21"/>
  <c r="B20" i="21"/>
  <c r="C20" i="21" s="1"/>
  <c r="C19" i="21" s="1"/>
  <c r="B10" i="15"/>
  <c r="A10" i="15" s="1"/>
  <c r="B11" i="15" l="1"/>
  <c r="A11" i="15" s="1"/>
  <c r="B12" i="15" l="1"/>
  <c r="A12" i="15" s="1"/>
  <c r="B13" i="15" l="1"/>
  <c r="A13" i="15" s="1"/>
  <c r="B14" i="15" l="1"/>
  <c r="A14" i="15" s="1"/>
  <c r="B15" i="15" l="1"/>
  <c r="A15" i="15" s="1"/>
  <c r="F2" i="22" l="1" a="1"/>
  <c r="B16" i="15"/>
  <c r="B6" i="21" l="1"/>
  <c r="C6" i="21" s="1"/>
  <c r="C5" i="21" s="1"/>
  <c r="B5" i="21"/>
  <c r="E2" i="22" a="1"/>
  <c r="B3" i="21" s="1"/>
  <c r="A16" i="15"/>
  <c r="D2" i="22" s="1" a="1"/>
  <c r="B4" i="21" l="1"/>
  <c r="C3" i="21" s="1"/>
  <c r="C2" i="21" s="1"/>
  <c r="B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5B595-7877-DD48-8980-844F4F303F26}" keepAlive="1" name="查詢 - Daily_Log" description="與活頁簿中 'Daily_Log' 查詢的連接。" type="5" refreshedVersion="8" background="1" saveData="1">
    <dbPr connection="Provider=Microsoft.Mashup.OleDb.1;Data Source=$Workbook$;Location=Daily_Log;Extended Properties=&quot;&quot;" command="SELECT * FROM [Daily_Log]"/>
  </connection>
  <connection id="2" xr16:uid="{2337E9DD-8683-854F-B094-B97111984686}" keepAlive="1" name="查詢 - EXP_Calculation" description="與活頁簿中 'EXP_Calculation' 查詢的連接。" type="5" refreshedVersion="8" background="1" saveData="1">
    <dbPr connection="Provider=Microsoft.Mashup.OleDb.1;Data Source=$Workbook$;Location=EXP_Calculation;Extended Properties=&quot;&quot;" command="SELECT * FROM [EXP_Calculation]"/>
  </connection>
  <connection id="3" xr16:uid="{4CD7E0D6-4C26-4D45-B44E-8438451A0273}" keepAlive="1" name="查詢 - Task_Master" description="與活頁簿中 'Task_Master' 查詢的連接。" type="5" refreshedVersion="0" background="1">
    <dbPr connection="Provider=Microsoft.Mashup.OleDb.1;Data Source=$Workbook$;Location=Task_Master;Extended Properties=&quot;&quot;" command="SELECT * FROM [Task_Master]"/>
  </connection>
  <connection id="4" xr16:uid="{A00CC6B2-7295-DD43-A349-68755194F921}" keepAlive="1" name="查詢 - tbl_Input_2026_7" description="與活頁簿中 'tbl_Input_2026_7' 查詢的連接。" type="5" refreshedVersion="8" background="1" saveData="1">
    <dbPr connection="Provider=Microsoft.Mashup.OleDb.1;Data Source=$Workbook$;Location=tbl_Input_2026_7;Extended Properties=&quot;&quot;" command="SELECT * FROM [tbl_Input_2026_7]"/>
  </connection>
  <connection id="5" xr16:uid="{6678347D-2B33-174A-BB52-24AF7F26AB46}" keepAlive="1" name="查詢 - tbl_Input_2026_8" description="與活頁簿中 'tbl_Input_2026_8' 查詢的連接。" type="5" refreshedVersion="8" background="1" saveData="1">
    <dbPr connection="Provider=Microsoft.Mashup.OleDb.1;Data Source=$Workbook$;Location=tbl_Input_2026_8;Extended Properties=&quot;&quot;" command="SELECT * FROM [tbl_Input_2026_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<sst xmlns="http://schemas.openxmlformats.org/spreadsheetml/2006/main" count="546" uniqueCount="308">
  <si>
    <t>S001</t>
  </si>
  <si>
    <t>創世術</t>
  </si>
  <si>
    <t>S002</t>
  </si>
  <si>
    <t>分析術</t>
  </si>
  <si>
    <t>S003</t>
  </si>
  <si>
    <t>英文</t>
  </si>
  <si>
    <t>破譯術</t>
  </si>
  <si>
    <t>S004</t>
  </si>
  <si>
    <t>日文</t>
  </si>
  <si>
    <t>S005</t>
  </si>
  <si>
    <t>S006</t>
  </si>
  <si>
    <t>遊戲</t>
  </si>
  <si>
    <t>養心術</t>
  </si>
  <si>
    <t>S007</t>
  </si>
  <si>
    <t>書法</t>
  </si>
  <si>
    <t>S008</t>
  </si>
  <si>
    <t>小說</t>
  </si>
  <si>
    <t>運動</t>
  </si>
  <si>
    <t>體術</t>
  </si>
  <si>
    <t>資料分析與程式設計</t>
    <phoneticPr fontId="1" type="noConversion"/>
  </si>
  <si>
    <t>語言</t>
    <phoneticPr fontId="1" type="noConversion"/>
  </si>
  <si>
    <t>藝術</t>
    <phoneticPr fontId="1" type="noConversion"/>
  </si>
  <si>
    <t>運動</t>
    <phoneticPr fontId="1" type="noConversion"/>
  </si>
  <si>
    <t>T001</t>
    <phoneticPr fontId="1" type="noConversion"/>
  </si>
  <si>
    <t>Skill_n</t>
    <phoneticPr fontId="1" type="noConversion"/>
  </si>
  <si>
    <t>Cat</t>
    <phoneticPr fontId="1" type="noConversion"/>
  </si>
  <si>
    <t>RPG_Cat</t>
    <phoneticPr fontId="1" type="noConversion"/>
  </si>
  <si>
    <t>Training</t>
    <phoneticPr fontId="1" type="noConversion"/>
  </si>
  <si>
    <t>Start</t>
    <phoneticPr fontId="1" type="noConversion"/>
  </si>
  <si>
    <t>Display_order</t>
    <phoneticPr fontId="1" type="noConversion"/>
  </si>
  <si>
    <t>S001</t>
    <phoneticPr fontId="1" type="noConversion"/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</si>
  <si>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</si>
  <si>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</si>
  <si>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</si>
  <si>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</si>
  <si>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</si>
  <si>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</si>
  <si>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</si>
  <si>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</si>
  <si>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</si>
  <si>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</si>
  <si>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</si>
  <si>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</si>
  <si>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</si>
  <si>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</si>
  <si>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</si>
  <si>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</si>
  <si>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</si>
  <si>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</si>
  <si>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</si>
  <si>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分析術</t>
    <phoneticPr fontId="1" type="noConversion"/>
  </si>
  <si>
    <t>創世術</t>
    <phoneticPr fontId="1" type="noConversion"/>
  </si>
  <si>
    <t>英文日記</t>
    <phoneticPr fontId="1" type="noConversion"/>
  </si>
  <si>
    <t>日文日記</t>
    <phoneticPr fontId="1" type="noConversion"/>
  </si>
  <si>
    <t>破譯術</t>
    <phoneticPr fontId="1" type="noConversion"/>
  </si>
  <si>
    <t>玩</t>
    <phoneticPr fontId="1" type="noConversion"/>
  </si>
  <si>
    <t>遊戲破關</t>
    <phoneticPr fontId="1" type="noConversion"/>
  </si>
  <si>
    <t>養心術</t>
    <phoneticPr fontId="1" type="noConversion"/>
  </si>
  <si>
    <t>體術</t>
    <phoneticPr fontId="1" type="noConversion"/>
  </si>
  <si>
    <t>S002</t>
    <phoneticPr fontId="1" type="noConversion"/>
  </si>
  <si>
    <t>S003</t>
    <phoneticPr fontId="1" type="noConversion"/>
  </si>
  <si>
    <t>S004</t>
    <phoneticPr fontId="1" type="noConversion"/>
  </si>
  <si>
    <t>S005</t>
    <phoneticPr fontId="1" type="noConversion"/>
  </si>
  <si>
    <t>S006</t>
    <phoneticPr fontId="1" type="noConversion"/>
  </si>
  <si>
    <t>S007</t>
    <phoneticPr fontId="1" type="noConversion"/>
  </si>
  <si>
    <t>S008</t>
    <phoneticPr fontId="1" type="noConversion"/>
  </si>
  <si>
    <t>實作</t>
    <phoneticPr fontId="1" type="noConversion"/>
  </si>
  <si>
    <t>複習</t>
    <phoneticPr fontId="1" type="noConversion"/>
  </si>
  <si>
    <t>學習</t>
    <phoneticPr fontId="1" type="noConversion"/>
  </si>
  <si>
    <t>作品集</t>
    <phoneticPr fontId="1" type="noConversion"/>
  </si>
  <si>
    <t>T021</t>
  </si>
  <si>
    <t>T022</t>
  </si>
  <si>
    <t>Leetcode</t>
    <phoneticPr fontId="1" type="noConversion"/>
  </si>
  <si>
    <t>Kaggle</t>
    <phoneticPr fontId="1" type="noConversion"/>
  </si>
  <si>
    <t xml:space="preserve">SQL </t>
    <phoneticPr fontId="1" type="noConversion"/>
  </si>
  <si>
    <t>SQL50</t>
    <phoneticPr fontId="1" type="noConversion"/>
  </si>
  <si>
    <t>作品</t>
    <phoneticPr fontId="1" type="noConversion"/>
  </si>
  <si>
    <t>英文文章</t>
    <phoneticPr fontId="1" type="noConversion"/>
  </si>
  <si>
    <t>英文影片</t>
    <phoneticPr fontId="1" type="noConversion"/>
  </si>
  <si>
    <t>英文跟讀</t>
    <phoneticPr fontId="1" type="noConversion"/>
  </si>
  <si>
    <t>日文文章</t>
    <phoneticPr fontId="1" type="noConversion"/>
  </si>
  <si>
    <t>日文影片</t>
    <phoneticPr fontId="1" type="noConversion"/>
  </si>
  <si>
    <t>日文跟讀</t>
    <phoneticPr fontId="1" type="noConversion"/>
  </si>
  <si>
    <t>文學閱讀</t>
    <phoneticPr fontId="1" type="noConversion"/>
  </si>
  <si>
    <t>小說</t>
    <phoneticPr fontId="1" type="noConversion"/>
  </si>
  <si>
    <t>小說章節</t>
    <phoneticPr fontId="1" type="noConversion"/>
  </si>
  <si>
    <t>楷書</t>
    <phoneticPr fontId="1" type="noConversion"/>
  </si>
  <si>
    <t>行書</t>
    <phoneticPr fontId="1" type="noConversion"/>
  </si>
  <si>
    <t>書法作品</t>
    <phoneticPr fontId="1" type="noConversion"/>
  </si>
  <si>
    <t>題</t>
    <phoneticPr fontId="1" type="noConversion"/>
  </si>
  <si>
    <t>章</t>
    <phoneticPr fontId="1" type="noConversion"/>
  </si>
  <si>
    <t>篇</t>
    <phoneticPr fontId="1" type="noConversion"/>
  </si>
  <si>
    <t>部</t>
    <phoneticPr fontId="1" type="noConversion"/>
  </si>
  <si>
    <t>篇</t>
    <phoneticPr fontId="1" type="noConversion"/>
  </si>
  <si>
    <t>章</t>
    <phoneticPr fontId="1" type="noConversion"/>
  </si>
  <si>
    <t>小時</t>
    <phoneticPr fontId="1" type="noConversion"/>
  </si>
  <si>
    <t>次</t>
    <phoneticPr fontId="1" type="noConversion"/>
  </si>
  <si>
    <t>Active</t>
    <phoneticPr fontId="1" type="noConversion"/>
  </si>
  <si>
    <t>S_no</t>
    <phoneticPr fontId="1" type="noConversion"/>
  </si>
  <si>
    <t>T_no</t>
    <phoneticPr fontId="1" type="noConversion"/>
  </si>
  <si>
    <t>版</t>
    <phoneticPr fontId="1" type="noConversion"/>
  </si>
  <si>
    <t>Q_no</t>
    <phoneticPr fontId="1" type="noConversion"/>
  </si>
  <si>
    <t>Q001</t>
    <phoneticPr fontId="1" type="noConversion"/>
  </si>
  <si>
    <t>Quest_n</t>
    <phoneticPr fontId="1" type="noConversion"/>
  </si>
  <si>
    <t>Quest_type</t>
    <phoneticPr fontId="1" type="noConversion"/>
  </si>
  <si>
    <t>Start_date</t>
    <phoneticPr fontId="1" type="noConversion"/>
  </si>
  <si>
    <t>Due_date</t>
    <phoneticPr fontId="1" type="noConversion"/>
  </si>
  <si>
    <t>Reward_EXP</t>
    <phoneticPr fontId="1" type="noConversion"/>
  </si>
  <si>
    <t>Status</t>
    <phoneticPr fontId="1" type="noConversion"/>
  </si>
  <si>
    <t>Completion_Rule</t>
  </si>
  <si>
    <t>完成Leetcode 20題</t>
    <phoneticPr fontId="1" type="noConversion"/>
  </si>
  <si>
    <t>Q003</t>
  </si>
  <si>
    <t>完成SQL 20題</t>
    <phoneticPr fontId="1" type="noConversion"/>
  </si>
  <si>
    <t>重寫SQL50</t>
    <phoneticPr fontId="1" type="noConversion"/>
  </si>
  <si>
    <t>Q004</t>
  </si>
  <si>
    <t>Q005</t>
  </si>
  <si>
    <t>Q006</t>
  </si>
  <si>
    <t>Kaggle完成Machine Learning</t>
    <phoneticPr fontId="1" type="noConversion"/>
  </si>
  <si>
    <t>Q007</t>
  </si>
  <si>
    <t>冒險之書V3 完成</t>
    <phoneticPr fontId="1" type="noConversion"/>
  </si>
  <si>
    <t>英文多益900</t>
    <phoneticPr fontId="1" type="noConversion"/>
  </si>
  <si>
    <t>Q008</t>
  </si>
  <si>
    <t>日文N1</t>
    <phoneticPr fontId="1" type="noConversion"/>
  </si>
  <si>
    <t>Q009</t>
  </si>
  <si>
    <t>小說前傳背景故事寫完</t>
    <phoneticPr fontId="1" type="noConversion"/>
  </si>
  <si>
    <t>Q010</t>
  </si>
  <si>
    <t>Q011</t>
  </si>
  <si>
    <t>書法楷寫完50篇</t>
    <phoneticPr fontId="1" type="noConversion"/>
  </si>
  <si>
    <t>書法寫完行書10篇</t>
    <phoneticPr fontId="1" type="noConversion"/>
  </si>
  <si>
    <t>Q012</t>
  </si>
  <si>
    <t>對馬戰鬼白金盃</t>
    <phoneticPr fontId="1" type="noConversion"/>
  </si>
  <si>
    <t>Q013</t>
  </si>
  <si>
    <t>魔物獵人白金盃</t>
    <phoneticPr fontId="1" type="noConversion"/>
  </si>
  <si>
    <t>Q014</t>
  </si>
  <si>
    <t>黑神話白金盃</t>
    <phoneticPr fontId="1" type="noConversion"/>
  </si>
  <si>
    <t>Q015</t>
  </si>
  <si>
    <t>連續運動30天</t>
    <phoneticPr fontId="1" type="noConversion"/>
  </si>
  <si>
    <t>成為資料科學家</t>
    <phoneticPr fontId="1" type="noConversion"/>
  </si>
  <si>
    <t>完成一本小說</t>
    <phoneticPr fontId="1" type="noConversion"/>
  </si>
  <si>
    <t>完成冒險之書(資料分析版)</t>
    <phoneticPr fontId="1" type="noConversion"/>
  </si>
  <si>
    <t>完成冒險之書(APP版)</t>
    <phoneticPr fontId="1" type="noConversion"/>
  </si>
  <si>
    <t>托福100分</t>
    <phoneticPr fontId="1" type="noConversion"/>
  </si>
  <si>
    <t>完成投資分析project</t>
    <phoneticPr fontId="1" type="noConversion"/>
  </si>
  <si>
    <t>Q016</t>
  </si>
  <si>
    <t>Q017</t>
  </si>
  <si>
    <t>Q018</t>
  </si>
  <si>
    <t>Q019</t>
  </si>
  <si>
    <t>Q020</t>
  </si>
  <si>
    <t>Q021</t>
  </si>
  <si>
    <t>Q022</t>
  </si>
  <si>
    <t>Q023</t>
  </si>
  <si>
    <t>Main</t>
    <phoneticPr fontId="1" type="noConversion"/>
  </si>
  <si>
    <t>用小說做成2D遊戲</t>
    <phoneticPr fontId="1" type="noConversion"/>
  </si>
  <si>
    <t>Q024</t>
  </si>
  <si>
    <t>Side</t>
    <phoneticPr fontId="1" type="noConversion"/>
  </si>
  <si>
    <t>Not Started</t>
    <phoneticPr fontId="1" type="noConversion"/>
  </si>
  <si>
    <t>完成EXCEL資料整理, Power BI Dashboard, Python分析, 自動提供投資理財建議</t>
    <phoneticPr fontId="1" type="noConversion"/>
  </si>
  <si>
    <t>完成EXCEL資料整理, Power BI Dashboard, Python分析, 自動告知不足, 提供建議</t>
    <phoneticPr fontId="1" type="noConversion"/>
  </si>
  <si>
    <t>書法帳號獲得商業合作</t>
    <phoneticPr fontId="1" type="noConversion"/>
  </si>
  <si>
    <t>100人追蹤帳號，書法帳號有人聯繫合作</t>
    <phoneticPr fontId="1" type="noConversion"/>
  </si>
  <si>
    <t>書法教室/小型遊戲公司</t>
    <phoneticPr fontId="1" type="noConversion"/>
  </si>
  <si>
    <t>完成3-4小時短篇類煙雨、仙劍、歧路的遊戲</t>
    <phoneticPr fontId="1" type="noConversion"/>
  </si>
  <si>
    <t>完成leetcode75裡的20題</t>
    <phoneticPr fontId="1" type="noConversion"/>
  </si>
  <si>
    <t>完成SQL 50 以外的 20題</t>
    <phoneticPr fontId="1" type="noConversion"/>
  </si>
  <si>
    <t>重新熟練SQL50的題目</t>
    <phoneticPr fontId="1" type="noConversion"/>
  </si>
  <si>
    <t>上課上完Machine Learning</t>
    <phoneticPr fontId="1" type="noConversion"/>
  </si>
  <si>
    <t>冒險之書Excel版弄好</t>
    <phoneticPr fontId="1" type="noConversion"/>
  </si>
  <si>
    <t>要把尚和帝-&gt;琉平帝的故事寫完</t>
    <phoneticPr fontId="1" type="noConversion"/>
  </si>
  <si>
    <t>楷書寫50篇</t>
    <phoneticPr fontId="1" type="noConversion"/>
  </si>
  <si>
    <t>行書寫10篇</t>
    <phoneticPr fontId="1" type="noConversion"/>
  </si>
  <si>
    <t>對馬戰鬼全部破關</t>
    <phoneticPr fontId="1" type="noConversion"/>
  </si>
  <si>
    <t>魔物獵人全破</t>
    <phoneticPr fontId="1" type="noConversion"/>
  </si>
  <si>
    <t>黑神話全破</t>
    <phoneticPr fontId="1" type="noConversion"/>
  </si>
  <si>
    <t>Taget_Type</t>
    <phoneticPr fontId="1" type="noConversion"/>
  </si>
  <si>
    <t>Target_Value</t>
    <phoneticPr fontId="1" type="noConversion"/>
  </si>
  <si>
    <t>成為資料分析師</t>
    <phoneticPr fontId="1" type="noConversion"/>
  </si>
  <si>
    <t>Q002</t>
  </si>
  <si>
    <t>面試資料科學家職位取得offer</t>
    <phoneticPr fontId="1" type="noConversion"/>
  </si>
  <si>
    <t>面試資料分析師職位取得offer</t>
    <phoneticPr fontId="1" type="noConversion"/>
  </si>
  <si>
    <t>完成小說點雨樓，並發布在任何平台</t>
    <phoneticPr fontId="1" type="noConversion"/>
  </si>
  <si>
    <t>製作冒險之書APP並發布Beta版</t>
    <phoneticPr fontId="1" type="noConversion"/>
  </si>
  <si>
    <t>參與托福考試，分數&gt;=100分</t>
    <phoneticPr fontId="1" type="noConversion"/>
  </si>
  <si>
    <t>2027年12月 JLPT N1考試</t>
    <phoneticPr fontId="1" type="noConversion"/>
  </si>
  <si>
    <t>成功創業</t>
    <phoneticPr fontId="1" type="noConversion"/>
  </si>
  <si>
    <t>獲得多益金色證書</t>
    <phoneticPr fontId="1" type="noConversion"/>
  </si>
  <si>
    <t>Offer</t>
    <phoneticPr fontId="1" type="noConversion"/>
  </si>
  <si>
    <t>Project</t>
    <phoneticPr fontId="1" type="noConversion"/>
  </si>
  <si>
    <t>Challenge</t>
    <phoneticPr fontId="1" type="noConversion"/>
  </si>
  <si>
    <t>Gaming</t>
    <phoneticPr fontId="1" type="noConversion"/>
  </si>
  <si>
    <t>Sport</t>
    <phoneticPr fontId="1" type="noConversion"/>
  </si>
  <si>
    <t>Score</t>
    <phoneticPr fontId="1" type="noConversion"/>
  </si>
  <si>
    <t>Date</t>
  </si>
  <si>
    <t>Date</t>
    <phoneticPr fontId="1" type="noConversion"/>
  </si>
  <si>
    <t>英文日記</t>
  </si>
  <si>
    <t>日文日記</t>
  </si>
  <si>
    <t>小說章節</t>
  </si>
  <si>
    <t>遊戲破關</t>
  </si>
  <si>
    <t>Leetcode 1題</t>
  </si>
  <si>
    <t>SQL 1題</t>
  </si>
  <si>
    <t>SQL50 2題</t>
  </si>
  <si>
    <t>Kaggle 2章</t>
  </si>
  <si>
    <t>英文文章 1篇</t>
  </si>
  <si>
    <t>英文影片20分鐘</t>
  </si>
  <si>
    <t>20分鐘</t>
    <phoneticPr fontId="1" type="noConversion"/>
  </si>
  <si>
    <t>10分鐘</t>
    <phoneticPr fontId="1" type="noConversion"/>
  </si>
  <si>
    <t>500字</t>
    <phoneticPr fontId="1" type="noConversion"/>
  </si>
  <si>
    <t>15分鐘</t>
    <phoneticPr fontId="1" type="noConversion"/>
  </si>
  <si>
    <t>作品 1版</t>
  </si>
  <si>
    <t>英文跟讀10分鐘</t>
  </si>
  <si>
    <t>日文文章1篇</t>
    <phoneticPr fontId="1" type="noConversion"/>
  </si>
  <si>
    <t>日文影片20分鐘</t>
    <phoneticPr fontId="1" type="noConversion"/>
  </si>
  <si>
    <t>日文跟讀10分鐘</t>
    <phoneticPr fontId="1" type="noConversion"/>
  </si>
  <si>
    <t>小說500字</t>
    <phoneticPr fontId="1" type="noConversion"/>
  </si>
  <si>
    <t>楷書1篇</t>
    <phoneticPr fontId="1" type="noConversion"/>
  </si>
  <si>
    <t>行書1篇</t>
    <phoneticPr fontId="1" type="noConversion"/>
  </si>
  <si>
    <t>書法作品1篇</t>
    <phoneticPr fontId="1" type="noConversion"/>
  </si>
  <si>
    <t>運動30分鐘</t>
    <phoneticPr fontId="1" type="noConversion"/>
  </si>
  <si>
    <t>Task</t>
    <phoneticPr fontId="1" type="noConversion"/>
  </si>
  <si>
    <t>Total_EXP</t>
    <phoneticPr fontId="1" type="noConversion"/>
  </si>
  <si>
    <t>Level</t>
    <phoneticPr fontId="1" type="noConversion"/>
  </si>
  <si>
    <t>2026/7/23</t>
  </si>
  <si>
    <t>2026/7/24</t>
  </si>
  <si>
    <t>2026/7/25</t>
  </si>
  <si>
    <t>2026/7/26</t>
  </si>
  <si>
    <t>2026/7/27</t>
  </si>
  <si>
    <t>2026/7/28</t>
  </si>
  <si>
    <t>2026/7/29</t>
  </si>
  <si>
    <t>2026/7/30</t>
  </si>
  <si>
    <t>2026/7/31</t>
  </si>
  <si>
    <t>2026/8/1</t>
  </si>
  <si>
    <t>2026/8/2</t>
  </si>
  <si>
    <t>2026/8/3</t>
  </si>
  <si>
    <t>2026/8/4</t>
  </si>
  <si>
    <t>2026/8/5</t>
  </si>
  <si>
    <t>2026/8/6</t>
  </si>
  <si>
    <t>2026/8/7</t>
  </si>
  <si>
    <t>2026/8/8</t>
  </si>
  <si>
    <t>2026/8/9</t>
  </si>
  <si>
    <t>2026/8/10</t>
  </si>
  <si>
    <t>2026/8/11</t>
  </si>
  <si>
    <t>2026/8/12</t>
  </si>
  <si>
    <t>2026/8/13</t>
  </si>
  <si>
    <t>2026/8/14</t>
  </si>
  <si>
    <t>2026/8/15</t>
  </si>
  <si>
    <t>2026/8/16</t>
  </si>
  <si>
    <t>2026/8/17</t>
  </si>
  <si>
    <t>2026/8/18</t>
  </si>
  <si>
    <t>2026/8/19</t>
  </si>
  <si>
    <t>2026/8/20</t>
  </si>
  <si>
    <t>2026/8/21</t>
  </si>
  <si>
    <t>2026/8/22</t>
  </si>
  <si>
    <t>2026/8/23</t>
  </si>
  <si>
    <t>2026/8/24</t>
  </si>
  <si>
    <t>2026/8/25</t>
  </si>
  <si>
    <t>2026/8/26</t>
  </si>
  <si>
    <t>2026/8/27</t>
  </si>
  <si>
    <t>2026/8/28</t>
  </si>
  <si>
    <t>2026/8/29</t>
  </si>
  <si>
    <t>2026/8/30</t>
  </si>
  <si>
    <t>2026/8/31</t>
  </si>
  <si>
    <t>T_no</t>
  </si>
  <si>
    <t>Task_n</t>
  </si>
  <si>
    <t>RPG_Cat</t>
  </si>
  <si>
    <t>Cat</t>
  </si>
  <si>
    <t>S_no</t>
  </si>
  <si>
    <t>Task_Type</t>
  </si>
  <si>
    <t>EXP_per_unit</t>
  </si>
  <si>
    <t>Unit</t>
  </si>
  <si>
    <t>Default_Difficulty</t>
  </si>
  <si>
    <t>Impact</t>
  </si>
  <si>
    <t>Active</t>
  </si>
  <si>
    <t>Display_order</t>
  </si>
  <si>
    <t>Start</t>
  </si>
  <si>
    <t>破譯術-英文</t>
  </si>
  <si>
    <t>破譯術-英文</t>
    <phoneticPr fontId="1" type="noConversion"/>
  </si>
  <si>
    <t>破譯術-日文</t>
  </si>
  <si>
    <t>破譯術-日文</t>
    <phoneticPr fontId="1" type="noConversion"/>
  </si>
  <si>
    <t>創世術-小說</t>
  </si>
  <si>
    <t>創世術-小說</t>
    <phoneticPr fontId="1" type="noConversion"/>
  </si>
  <si>
    <t>養心術-書法</t>
  </si>
  <si>
    <t>養心術-書法</t>
    <phoneticPr fontId="1" type="noConversion"/>
  </si>
  <si>
    <t>養心術-遊戲</t>
  </si>
  <si>
    <t>養心術-遊戲</t>
    <phoneticPr fontId="1" type="noConversion"/>
  </si>
  <si>
    <t>體術-運動</t>
  </si>
  <si>
    <t>體術-運動</t>
    <phoneticPr fontId="1" type="noConversion"/>
  </si>
  <si>
    <t>陳老闆</t>
    <phoneticPr fontId="1" type="noConversion"/>
  </si>
  <si>
    <t>角色姓名</t>
    <phoneticPr fontId="1" type="noConversion"/>
  </si>
  <si>
    <t>冒險等級</t>
    <phoneticPr fontId="1" type="noConversion"/>
  </si>
  <si>
    <t>目前經驗</t>
    <phoneticPr fontId="1" type="noConversion"/>
  </si>
  <si>
    <t>下一級所需經驗</t>
    <phoneticPr fontId="1" type="noConversion"/>
  </si>
  <si>
    <t>程式語言&amp;作品集</t>
    <phoneticPr fontId="1" type="noConversion"/>
  </si>
  <si>
    <t>分析用 Python &amp; MySQL</t>
    <phoneticPr fontId="1" type="noConversion"/>
  </si>
  <si>
    <t>創世術-作品及程式語言</t>
    <phoneticPr fontId="1" type="noConversion"/>
  </si>
  <si>
    <t>分析術-Python &amp; SQL</t>
    <phoneticPr fontId="1" type="noConversion"/>
  </si>
  <si>
    <t>C_Level</t>
  </si>
  <si>
    <t>C_Total_EXP</t>
  </si>
  <si>
    <t>C_創世術-作品及程式語言</t>
  </si>
  <si>
    <t>C_分析術-Python &amp; SQL</t>
  </si>
  <si>
    <t>C_破譯術-英文</t>
  </si>
  <si>
    <t>C_破譯術-日文</t>
  </si>
  <si>
    <t>C_創世術-小說</t>
  </si>
  <si>
    <t>C_養心術-書法</t>
  </si>
  <si>
    <t>C_養心術-遊戲</t>
  </si>
  <si>
    <t>C_體術-運動</t>
  </si>
  <si>
    <t>所需經驗值：</t>
    <phoneticPr fontId="1" type="noConversion"/>
  </si>
  <si>
    <t>增率</t>
    <phoneticPr fontId="1" type="noConversion"/>
  </si>
  <si>
    <t>start_tEXP</t>
    <phoneticPr fontId="1" type="noConversion"/>
  </si>
  <si>
    <t>start_sEXP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</si>
</sst>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&quot;LV.&quot;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charset val="136"/>
      <scheme val="major"/>
    </font>
    <font>
      <sz val="12"/>
      <name val="新細明體"/>
      <family val="2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7" fontId="0" fillId="0" borderId="0" xfId="0" applyNumberFormat="1" applyAlignment="1">
      <alignment horizontal="center" vertical="center"/>
    </xf>
  </cellXfs>
  <cellStyles count="1">
    <cellStyle name="一般" xfId="0" builtinId="0"/>
  </cellStyles>
  <dxfs count="7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7" formatCode="&quot;LV.&quot;0"/>
      <alignment horizontal="center" vertical="center" textRotation="0" wrapText="0" indent="0" justifyLastLine="0" shrinkToFit="0" readingOrder="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scheme val="minor"/>
      </fon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yyyy/m/d"/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2" xr16:uid="{F4F41520-713D-6640-BDE2-5EA26BBFF264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S001" tableColumnId="2"/>
      <queryTableField id="3" name="S002" tableColumnId="3"/>
      <queryTableField id="4" name="S003" tableColumnId="4"/>
      <queryTableField id="5" name="S004" tableColumnId="5"/>
      <queryTableField id="6" name="S005" tableColumnId="6"/>
      <queryTableField id="7" name="S006" tableColumnId="7"/>
      <queryTableField id="8" name="S007" tableColumnId="8"/>
      <queryTableField id="9" name="S008" tableColumnId="9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CA1665-1721-C640-BF9E-3515BC341512}" name="表格3" displayName="表格3" ref="A1:K22" totalsRowShown="0" headerRowDxfId="0" dataDxfId="1">
  <autoFilter ref="A1:K22" xr:uid="{7ACA1665-1721-C640-BF9E-3515BC341512}"/>
  <tableColumns count="11">
    <tableColumn id="1" xr3:uid="{45E86721-6E6D-1848-B420-E93EBB062329}" name="Level" dataDxfId="12">
      <calculatedColumnFormula>IF(B2&lt;config!$A$2,0,INT(LOG(B2/config!$A$2,config!$C$2))+1)</calculatedColumnFormula>
    </tableColumn>
    <tableColumn id="2" xr3:uid="{8EEBA95F-0DD6-8746-AEE6-B2FB31AF1F9E}" name="Total_EXP" dataDxfId="11">
      <calculatedColumnFormula>SUM(D2:K2)</calculatedColumnFormula>
    </tableColumn>
    <tableColumn id="3" xr3:uid="{06DAD309-DD9B-194A-BB78-3E45CBF99CB2}" name="Date" dataDxfId="10"/>
    <tableColumn id="4" xr3:uid="{229D73DC-FE33-E04B-A292-EC3ACD6788CA}" name="創世術-作品及程式語言" dataDxfId="9">
      <calculatedColumnFormula>EXP_Calculation!B1+D1</calculatedColumnFormula>
    </tableColumn>
    <tableColumn id="5" xr3:uid="{01F33FE8-D97D-204A-876B-3651D77A3538}" name="分析術-Python &amp; SQL" dataDxfId="8">
      <calculatedColumnFormula>EXP_Calculation!C1+E1</calculatedColumnFormula>
    </tableColumn>
    <tableColumn id="6" xr3:uid="{22F9F494-3E86-F74E-86EC-A396E5182B40}" name="破譯術-英文" dataDxfId="7">
      <calculatedColumnFormula>EXP_Calculation!D1+F1</calculatedColumnFormula>
    </tableColumn>
    <tableColumn id="7" xr3:uid="{E08E1224-A63E-1A42-B9F9-B95195F964E5}" name="破譯術-日文" dataDxfId="6">
      <calculatedColumnFormula>EXP_Calculation!E1+G1</calculatedColumnFormula>
    </tableColumn>
    <tableColumn id="8" xr3:uid="{23C9B2BD-1936-3F41-BE57-2AAAE95622DB}" name="創世術-小說" dataDxfId="5">
      <calculatedColumnFormula>EXP_Calculation!F1+H1</calculatedColumnFormula>
    </tableColumn>
    <tableColumn id="9" xr3:uid="{1383635D-2850-9943-B6C2-10E7B7EB6B27}" name="養心術-書法" dataDxfId="4">
      <calculatedColumnFormula>EXP_Calculation!G1+I1</calculatedColumnFormula>
    </tableColumn>
    <tableColumn id="10" xr3:uid="{5F2F31C2-FFAE-0C48-9E81-943B3DD45B5C}" name="養心術-遊戲" dataDxfId="3">
      <calculatedColumnFormula>EXP_Calculation!H1+J1</calculatedColumnFormula>
    </tableColumn>
    <tableColumn id="11" xr3:uid="{BE240123-EC39-414C-9503-089A4212CCDA}" name="體術-運動" dataDxfId="2">
      <calculatedColumnFormula>EXP_Calculation!I1+K1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C6718-6368-3043-A8AD-7C140C8667A3}" name="tbl_Input_2026_7" displayName="tbl_Input_2026_7" ref="A1:K23" totalsRowShown="0" headerRowDxfId="75" dataDxfId="74">
  <autoFilter ref="A1:K23" xr:uid="{468C6718-6368-3043-A8AD-7C140C8667A3}"/>
  <tableColumns count="11">
    <tableColumn id="1" xr3:uid="{85BDB004-CFDF-BC4E-BABA-A034C7891AA5}" name="T_no" dataDxfId="73"/>
    <tableColumn id="2" xr3:uid="{6EDFD960-1003-4C42-8BA7-9F6825B596EF}" name="Task" dataDxfId="72"/>
    <tableColumn id="3" xr3:uid="{9E204045-EE35-B742-953E-54D23E58908C}" name="2026/7/23" dataDxfId="71"/>
    <tableColumn id="4" xr3:uid="{BCE13481-CD7F-D946-A496-1A3E615119C7}" name="2026/7/24" dataDxfId="70"/>
    <tableColumn id="5" xr3:uid="{BF932F4B-7DEC-9B44-87CC-122E4AC9A7A7}" name="2026/7/25" dataDxfId="69"/>
    <tableColumn id="6" xr3:uid="{D9DF7FBA-6754-CD42-9D12-6789E25194DE}" name="2026/7/26" dataDxfId="68"/>
    <tableColumn id="7" xr3:uid="{EDDC3A44-D488-F340-9BB5-43F31FBE3A58}" name="2026/7/27" dataDxfId="67"/>
    <tableColumn id="8" xr3:uid="{9CC8208E-3E4D-AA4A-A92F-6A51A7C106C9}" name="2026/7/28" dataDxfId="66"/>
    <tableColumn id="9" xr3:uid="{2ECE6F18-A70A-4647-81C0-915F214ED561}" name="2026/7/29" dataDxfId="65"/>
    <tableColumn id="10" xr3:uid="{20A5DB48-D630-AB48-B38A-F6751AE51D9D}" name="2026/7/30" dataDxfId="64"/>
    <tableColumn id="11" xr3:uid="{191D9642-9D5B-C245-A6A8-0F2F45730C20}" name="2026/7/31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B88F64-ECD9-6C49-BC08-3AF93B37D702}" name="tbl_Input_2026_8" displayName="tbl_Input_2026_8" ref="A1:AG23" totalsRowShown="0" headerRowDxfId="62" dataDxfId="61">
  <autoFilter ref="A1:AG23" xr:uid="{66B88F64-ECD9-6C49-BC08-3AF93B37D702}"/>
  <tableColumns count="33">
    <tableColumn id="1" xr3:uid="{C806E682-0BA9-5346-8CC5-4FEF60DED5AA}" name="T_no" dataDxfId="60"/>
    <tableColumn id="2" xr3:uid="{43FDFF3E-6178-F04D-96EA-B4A2CC66DB64}" name="Task" dataDxfId="59"/>
    <tableColumn id="3" xr3:uid="{201D6969-0EAE-5F4A-A228-F3EE850E7977}" name="2026/8/1" dataDxfId="58"/>
    <tableColumn id="4" xr3:uid="{35D8CEB7-D4B5-9B44-9707-2E8CFDA7E9E8}" name="2026/8/2" dataDxfId="57"/>
    <tableColumn id="5" xr3:uid="{A52FDD67-2D35-7D46-BFAA-9C493FAECE69}" name="2026/8/3" dataDxfId="56"/>
    <tableColumn id="6" xr3:uid="{D52E86B6-2157-6C41-8F28-DE4338EDFB8F}" name="2026/8/4" dataDxfId="55"/>
    <tableColumn id="7" xr3:uid="{D3AF9EF3-647F-384F-BE0D-562B17FA6494}" name="2026/8/5" dataDxfId="54"/>
    <tableColumn id="8" xr3:uid="{259085C4-C58C-B046-9595-87242A85B371}" name="2026/8/6" dataDxfId="53"/>
    <tableColumn id="9" xr3:uid="{30CE054C-EF38-9045-89DE-547E02038482}" name="2026/8/7" dataDxfId="52"/>
    <tableColumn id="10" xr3:uid="{C264AB3F-AC82-DF42-BE53-3AE7248B7FC0}" name="2026/8/8" dataDxfId="51"/>
    <tableColumn id="11" xr3:uid="{6EA23AB7-461C-DD41-9839-A8685E08B643}" name="2026/8/9" dataDxfId="50"/>
    <tableColumn id="12" xr3:uid="{44D8621A-172C-DC41-8325-AC85F703DC9C}" name="2026/8/10" dataDxfId="49"/>
    <tableColumn id="13" xr3:uid="{0B605A2C-5249-714C-B56E-DBEED35FE6CD}" name="2026/8/11" dataDxfId="48"/>
    <tableColumn id="14" xr3:uid="{F7D4565B-9537-6F4B-86B8-1EF65BE654E5}" name="2026/8/12" dataDxfId="47"/>
    <tableColumn id="15" xr3:uid="{AA84B038-ECCE-DE47-B38B-4ADFE6198E48}" name="2026/8/13" dataDxfId="46"/>
    <tableColumn id="16" xr3:uid="{1C84E168-21FE-4B45-B58A-2514EAF3F0B9}" name="2026/8/14" dataDxfId="45"/>
    <tableColumn id="17" xr3:uid="{49D9C5F7-27E3-DB43-BF70-2EFDF80E917A}" name="2026/8/15" dataDxfId="44"/>
    <tableColumn id="18" xr3:uid="{BA1BE657-1358-8049-83A4-2FC931CEF257}" name="2026/8/16" dataDxfId="43"/>
    <tableColumn id="19" xr3:uid="{FAFACC8A-6C1A-5E41-93CB-AD97FF966CBB}" name="2026/8/17" dataDxfId="42"/>
    <tableColumn id="20" xr3:uid="{C6F5B3B9-B698-AF4E-85A0-1D4518064713}" name="2026/8/18" dataDxfId="41"/>
    <tableColumn id="21" xr3:uid="{98A2378C-9EF4-2B49-8A21-592FFFCC6C4F}" name="2026/8/19" dataDxfId="40"/>
    <tableColumn id="22" xr3:uid="{0CCA8740-2A0A-274B-9F8F-C56558A8861D}" name="2026/8/20" dataDxfId="39"/>
    <tableColumn id="23" xr3:uid="{83888476-7CEC-DB4D-9561-2B98C3D0A05E}" name="2026/8/21" dataDxfId="38"/>
    <tableColumn id="24" xr3:uid="{C7405BC1-02C3-DC45-ACD1-B2BAD045F8A7}" name="2026/8/22" dataDxfId="37"/>
    <tableColumn id="25" xr3:uid="{6FC52A2C-EF6D-7A4B-9985-7592F2CED57E}" name="2026/8/23" dataDxfId="36"/>
    <tableColumn id="26" xr3:uid="{120AC66F-E88E-884A-BD9B-374A80A2DEBF}" name="2026/8/24" dataDxfId="35"/>
    <tableColumn id="27" xr3:uid="{B966DB5B-85C6-6942-A04C-50A19D5D71FF}" name="2026/8/25" dataDxfId="34"/>
    <tableColumn id="28" xr3:uid="{C85F2165-63AA-3E43-AF7B-A4ED4893CC29}" name="2026/8/26" dataDxfId="33"/>
    <tableColumn id="29" xr3:uid="{978DCE3B-DCBC-E945-B020-F0EE3AC4E5A4}" name="2026/8/27" dataDxfId="32"/>
    <tableColumn id="30" xr3:uid="{DA7E3F2E-9568-CF46-8763-3D726AF99AFA}" name="2026/8/28" dataDxfId="31"/>
    <tableColumn id="31" xr3:uid="{A09207F8-07DF-744D-9B9C-2050E1314C8D}" name="2026/8/29" dataDxfId="30"/>
    <tableColumn id="32" xr3:uid="{7365EBAD-CA6A-EF44-8DA2-5FDC35F9B678}" name="2026/8/30" dataDxfId="29"/>
    <tableColumn id="33" xr3:uid="{DB898DD4-F3FB-1041-A225-FCCC8FC683DC}" name="2026/8/31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F2CCFB-E367-2D40-822F-77E95D1F6A1F}" name="表格9" displayName="表格9" ref="A1:M23" totalsRowShown="0" headerRowDxfId="27">
  <autoFilter ref="A1:M23" xr:uid="{62F2CCFB-E367-2D40-822F-77E95D1F6A1F}"/>
  <tableColumns count="13">
    <tableColumn id="1" xr3:uid="{9E9EAE35-5488-8C43-B307-8AC92A1CA731}" name="T_no" dataDxfId="26"/>
    <tableColumn id="2" xr3:uid="{D9FC4C17-4B55-D549-A9AC-31E59AA5E255}" name="Task_n" dataDxfId="25"/>
    <tableColumn id="3" xr3:uid="{CD498F59-F855-A94D-89FC-C2533007F459}" name="RPG_Cat" dataDxfId="24"/>
    <tableColumn id="4" xr3:uid="{80EFE459-38A0-FA4F-BE9C-3DF72FB1DF98}" name="Cat" dataDxfId="23"/>
    <tableColumn id="5" xr3:uid="{715308C7-DE44-9443-AAC9-941DE1E239FF}" name="S_no" dataDxfId="22"/>
    <tableColumn id="6" xr3:uid="{D72B5C9E-6265-5146-8818-720CE12CE020}" name="Task_Type" dataDxfId="21"/>
    <tableColumn id="7" xr3:uid="{36FA5A6B-D814-534C-BD73-927A0173106F}" name="EXP_per_unit" dataDxfId="20"/>
    <tableColumn id="8" xr3:uid="{CC1318BD-E193-F447-A2DB-FDDD20302E6F}" name="Unit" dataDxfId="19"/>
    <tableColumn id="9" xr3:uid="{8C7EA5F9-7B55-BA4A-AA6A-4E1898DD161B}" name="Default_Difficulty" dataDxfId="18"/>
    <tableColumn id="10" xr3:uid="{6CBA7BC4-8F5D-2C40-B9DB-19F8131507BC}" name="Impact" dataDxfId="17"/>
    <tableColumn id="11" xr3:uid="{B828B269-25D8-B54E-9E52-3754AE8687DC}" name="Active" dataDxfId="16"/>
    <tableColumn id="12" xr3:uid="{98DA17EB-E1A7-B549-9C69-16A15FB53A1E}" name="Display_order" dataDxfId="15"/>
    <tableColumn id="13" xr3:uid="{05DD9C9C-7EBF-1F48-A394-D0D8128CE0A7}" name="Start" dataDxfId="1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39E46D-A8AA-4943-9108-CC257F49E73A}" name="EXP_Calculation" displayName="EXP_Calculation" ref="A1:I41" tableType="queryTable" totalsRowShown="0">
  <autoFilter ref="A1:I41" xr:uid="{0C39E46D-A8AA-4943-9108-CC257F49E73A}"/>
  <tableColumns count="9">
    <tableColumn id="1" xr3:uid="{C77A9637-42DB-FC49-9DC8-1405651AD730}" uniqueName="1" name="Date" queryTableFieldId="1" dataDxfId="13"/>
    <tableColumn id="2" xr3:uid="{E736055D-03E3-864D-B8BF-49539D750E28}" uniqueName="2" name="S001" queryTableFieldId="2"/>
    <tableColumn id="3" xr3:uid="{65D97B79-3751-8D48-91E8-ED1B88947231}" uniqueName="3" name="S002" queryTableFieldId="3"/>
    <tableColumn id="4" xr3:uid="{8D88C539-DEC3-894C-A1AE-954DC68E653F}" uniqueName="4" name="S003" queryTableFieldId="4"/>
    <tableColumn id="5" xr3:uid="{0FD12FD7-BBFB-2C45-846F-8F23003F12FB}" uniqueName="5" name="S004" queryTableFieldId="5"/>
    <tableColumn id="6" xr3:uid="{08AC852C-24DF-9A44-AF11-6C2CFF4C4FF0}" uniqueName="6" name="S005" queryTableFieldId="6"/>
    <tableColumn id="7" xr3:uid="{4D7AE1A0-5645-E14F-84BD-4AEDB8F2DF14}" uniqueName="7" name="S006" queryTableFieldId="7"/>
    <tableColumn id="8" xr3:uid="{131C59A8-7978-2F45-BF31-2D93FA0FCFE9}" uniqueName="8" name="S007" queryTableFieldId="8"/>
    <tableColumn id="9" xr3:uid="{416725E3-8D33-6E4B-9D57-9756237D5BED}" uniqueName="9" name="S008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D396-FAB3-8945-918B-2635A9F4EBA8}">
  <dimension ref="A1:C20"/>
  <sheetViews>
    <sheetView workbookViewId="0">
      <selection activeCell="C20" sqref="C20"/>
    </sheetView>
  </sheetViews>
  <sheetFormatPr baseColWidth="10" defaultRowHeight="15"/>
  <cols>
    <col min="1" max="1" width="23.83203125" bestFit="1" customWidth="1"/>
    <col min="2" max="2" width="10.83203125" style="8"/>
    <col min="3" max="3" width="12.1640625" style="10" customWidth="1"/>
  </cols>
  <sheetData>
    <row r="1" spans="1:3">
      <c r="A1" t="s">
        <v>286</v>
      </c>
      <c r="B1" s="8" t="s">
        <v>285</v>
      </c>
    </row>
    <row r="2" spans="1:3">
      <c r="A2" t="s">
        <v>287</v>
      </c>
      <c r="B2" s="15" t="str">
        <f>"LV." &amp;config!D2</f>
        <v>LV.5</v>
      </c>
      <c r="C2" s="14" t="str">
        <f>REPT("■",ROUND(C3*20,0))&amp;REPT("□",20-ROUND(C3*20,0))</f>
        <v>■■■■■■■■■■■■■■■■□□□□</v>
      </c>
    </row>
    <row r="3" spans="1:3">
      <c r="A3" t="s">
        <v>288</v>
      </c>
      <c r="B3" s="8">
        <f>config!E2</f>
        <v>987</v>
      </c>
      <c r="C3" s="13">
        <f>B3/B4</f>
        <v>0.81234567901234567</v>
      </c>
    </row>
    <row r="4" spans="1:3">
      <c r="A4" t="s">
        <v>289</v>
      </c>
      <c r="B4" s="8">
        <f>config!A2*config!C2^config!D2</f>
        <v>1215</v>
      </c>
      <c r="C4" s="12"/>
    </row>
    <row r="5" spans="1:3">
      <c r="A5" s="10" t="s">
        <v>292</v>
      </c>
      <c r="B5" s="15" t="str">
        <f>"LV."&amp;IF((config!F2)&lt;20,0,INT(LOG((config!F2/20),1.5)+1))</f>
        <v>LV.7</v>
      </c>
      <c r="C5" s="12" t="str">
        <f>REPT("■",ROUND(C6*20,0))&amp;REPT("□",20-ROUND(C6*20,0))</f>
        <v>■■■■■■■■■■■■■■■■■■■□</v>
      </c>
    </row>
    <row r="6" spans="1:3">
      <c r="A6" s="11" t="s">
        <v>304</v>
      </c>
      <c r="B6" s="8">
        <f>ROUNDUP(config!B2*config!C2^IF((config!F2)&lt;config!B2,0,INT(LOG((config!F2)/config!B2,config!C2)+1)),0)</f>
        <v>342</v>
      </c>
      <c r="C6" s="13">
        <f>config!F2/B6</f>
        <v>0.94736842105263153</v>
      </c>
    </row>
    <row r="7" spans="1:3">
      <c r="A7" s="10" t="s">
        <v>293</v>
      </c>
      <c r="B7" s="15" t="str">
        <f>"LV."&amp;IF((config!G2)&lt;20,0,INT(LOG((config!G2/20),1.5)+1))</f>
        <v>LV.2</v>
      </c>
      <c r="C7" s="12" t="str">
        <f>REPT("■",ROUND(C8*20,0))&amp;REPT("□",20-ROUND(C8*20,0))</f>
        <v>■■■■■■■■■■■■■■■■■□□□</v>
      </c>
    </row>
    <row r="8" spans="1:3">
      <c r="A8" s="11" t="s">
        <v>304</v>
      </c>
      <c r="B8" s="8">
        <f>ROUNDUP(config!B2*config!C2^IF((config!G2)&lt;config!B2,0,INT(LOG((config!G2)/config!B2,config!C2)+1)),0)</f>
        <v>45</v>
      </c>
      <c r="C8" s="13">
        <f>config!G2/B8</f>
        <v>0.8666666666666667</v>
      </c>
    </row>
    <row r="9" spans="1:3">
      <c r="A9" t="s">
        <v>273</v>
      </c>
      <c r="B9" s="15" t="str">
        <f>"LV."&amp;IF((config!H2)&lt;20,0,INT(LOG((config!H2/20),1.5)+1))</f>
        <v>LV.6</v>
      </c>
      <c r="C9" s="12" t="str">
        <f>REPT("■",ROUND(C10*20,0))&amp;REPT("□",20-ROUND(C10*20,0))</f>
        <v>■■■■■■■■■■■■■■■■■□□□</v>
      </c>
    </row>
    <row r="10" spans="1:3">
      <c r="A10" s="11" t="s">
        <v>304</v>
      </c>
      <c r="B10" s="8">
        <f>ROUNDUP(config!B2*config!C2^IF((config!H2)&lt;config!B2,0,INT(LOG((config!H2)/config!B2,config!C2)+1)),0)</f>
        <v>228</v>
      </c>
      <c r="C10" s="13">
        <f>config!H2/B10</f>
        <v>0.86842105263157898</v>
      </c>
    </row>
    <row r="11" spans="1:3">
      <c r="A11" t="s">
        <v>275</v>
      </c>
      <c r="B11" s="15" t="str">
        <f>"LV."&amp;IF((config!I2)&lt;20,0,INT(LOG((config!I2/20),1.5)+1))</f>
        <v>LV.6</v>
      </c>
      <c r="C11" s="12" t="str">
        <f>REPT("■",ROUND(C12*20,0))&amp;REPT("□",20-ROUND(C12*20,0))</f>
        <v>■■■■■■■■■■■■■■□□□□□□</v>
      </c>
    </row>
    <row r="12" spans="1:3">
      <c r="A12" s="11" t="s">
        <v>304</v>
      </c>
      <c r="B12" s="8">
        <f>ROUNDUP(config!B2*config!C2^IF((config!I2)&lt;config!B2,0,INT(LOG((config!I2)/config!B2,config!C2)+1)),0)</f>
        <v>228</v>
      </c>
      <c r="C12" s="13">
        <f>config!I2/B12</f>
        <v>0.68421052631578949</v>
      </c>
    </row>
    <row r="13" spans="1:3">
      <c r="A13" t="s">
        <v>277</v>
      </c>
      <c r="B13" s="15" t="str">
        <f>"LV."&amp;IF((config!J2)&lt;20,0,INT(LOG((config!J2/20),1.5)+1))</f>
        <v>LV.4</v>
      </c>
      <c r="C13" s="12" t="str">
        <f>REPT("■",ROUND(C14*20,0))&amp;REPT("□",20-ROUND(C14*20,0))</f>
        <v>■■■■■■■■■■■■■■■□□□□□</v>
      </c>
    </row>
    <row r="14" spans="1:3">
      <c r="A14" s="11" t="s">
        <v>304</v>
      </c>
      <c r="B14" s="8">
        <f>ROUNDUP(config!B2*config!C2^IF((config!J2)&lt;config!B2,0,INT(LOG((config!J2)/config!B2,config!C2)+1)),0)</f>
        <v>102</v>
      </c>
      <c r="C14" s="13">
        <f>config!J2/B14</f>
        <v>0.73529411764705888</v>
      </c>
    </row>
    <row r="15" spans="1:3">
      <c r="A15" t="s">
        <v>279</v>
      </c>
      <c r="B15" s="15" t="str">
        <f>"LV."&amp;IF((config!K2)&lt;20,0,INT(LOG((config!K2/20),1.5)+1))</f>
        <v>LV.4</v>
      </c>
      <c r="C15" s="12" t="str">
        <f>REPT("■",ROUND(C16*20,0))&amp;REPT("□",20-ROUND(C16*20,0))</f>
        <v>■■■■■■■■■■■■■■■■■■□□</v>
      </c>
    </row>
    <row r="16" spans="1:3">
      <c r="A16" s="11" t="s">
        <v>304</v>
      </c>
      <c r="B16" s="8">
        <f>ROUNDUP(config!B2*config!C2^IF((config!K2)&lt;config!B2,0,INT(LOG((config!K2)/config!B2,config!C2)+1)),0)</f>
        <v>102</v>
      </c>
      <c r="C16" s="13">
        <f>config!K2/B16</f>
        <v>0.88235294117647056</v>
      </c>
    </row>
    <row r="17" spans="1:3">
      <c r="A17" t="s">
        <v>281</v>
      </c>
      <c r="B17" s="15" t="str">
        <f>"LV."&amp;IF((config!L2)&lt;20,0,INT(LOG((config!L2/20),1.5)+1))</f>
        <v>LV.3</v>
      </c>
      <c r="C17" s="12" t="str">
        <f>REPT("■",ROUND(C18*20,0))&amp;REPT("□",20-ROUND(C18*20,0))</f>
        <v>■■■■■■■■■■■■■□□□□□□□</v>
      </c>
    </row>
    <row r="18" spans="1:3">
      <c r="A18" s="11" t="s">
        <v>304</v>
      </c>
      <c r="B18" s="8">
        <f>ROUNDUP(config!B2*config!C2^IF((config!L2)&lt;config!B2,0,INT(LOG((config!L2)/config!B2,config!C2)+1)),0)</f>
        <v>68</v>
      </c>
      <c r="C18" s="13">
        <f>config!L2/B18</f>
        <v>0.66176470588235292</v>
      </c>
    </row>
    <row r="19" spans="1:3">
      <c r="A19" t="s">
        <v>283</v>
      </c>
      <c r="B19" s="15" t="str">
        <f>"LV."&amp;IF((config!M2)&lt;20,0,INT(LOG((config!M2/20),1.5)+1))</f>
        <v>LV.3</v>
      </c>
      <c r="C19" s="12" t="str">
        <f>REPT("■",ROUND(C20*20,0))&amp;REPT("□",20-ROUND(C20*20,0))</f>
        <v>■■■■■■■■■■■■■■■■■■□□</v>
      </c>
    </row>
    <row r="20" spans="1:3">
      <c r="A20" s="11" t="s">
        <v>304</v>
      </c>
      <c r="B20" s="8">
        <f>ROUNDUP(config!B2*config!C2^IF((config!M2)&lt;config!B2,0,INT(LOG((config!M2)/config!B2,config!C2)+1)),0)</f>
        <v>68</v>
      </c>
      <c r="C20" s="13">
        <f>config!M2/B20</f>
        <v>0.88235294117647056</v>
      </c>
    </row>
  </sheetData>
  <phoneticPr fontId="1" type="noConversion"/>
  <conditionalFormatting sqref="C5 C2 C7 C9 C11 C13 C15 C17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{DB4B11FB-698C-C44C-A263-E9F1B6B3216A}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4B11FB-698C-C44C-A263-E9F1B6B321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 C2 C7 C9 C11 C13 C15 C17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B14A-6C50-6C4F-8BB3-0C8F54CA765C}">
  <dimension ref="A1:M2"/>
  <sheetViews>
    <sheetView zoomScaleNormal="100" workbookViewId="0">
      <selection activeCell="M2" sqref="M2"/>
    </sheetView>
  </sheetViews>
  <sheetFormatPr baseColWidth="10" defaultRowHeight="15"/>
  <sheetData>
    <row r="1" spans="1:13">
      <c r="A1" t="s">
        <v>306</v>
      </c>
      <c r="B1" t="s">
        <v>307</v>
      </c>
      <c r="C1" t="s">
        <v>305</v>
      </c>
      <c r="D1" s="10" t="s">
        <v>294</v>
      </c>
      <c r="E1" s="10" t="s">
        <v>295</v>
      </c>
      <c r="F1" s="10" t="s">
        <v>296</v>
      </c>
      <c r="G1" s="10" t="s">
        <v>297</v>
      </c>
      <c r="H1" s="10" t="s">
        <v>298</v>
      </c>
      <c r="I1" s="10" t="s">
        <v>299</v>
      </c>
      <c r="J1" s="10" t="s">
        <v>300</v>
      </c>
      <c r="K1" s="10" t="s">
        <v>301</v>
      </c>
      <c r="L1" s="10" t="s">
        <v>302</v>
      </c>
      <c r="M1" s="10" t="s">
        <v>303</v>
      </c>
    </row>
    <row r="2" spans="1:13">
      <c r="A2">
        <v>160</v>
      </c>
      <c r="B2">
        <v>20</v>
      </c>
      <c r="C2">
        <v>1.5</v>
      </c>
      <c r="D2" s="10" cm="1">
        <f t="array" ref="D2">INDEX(Character_Status!A:A, COUNTA(Character_Status!A:A))</f>
        <v>5</v>
      </c>
      <c r="E2" s="10" cm="1">
        <f t="array" ref="E2">INDEX(Character_Status!B:B, COUNTA(Character_Status!B:B))</f>
        <v>987</v>
      </c>
      <c r="F2" s="10" cm="1">
        <f t="array" ref="F2">INDEX(Character_Status!D:D, COUNTA(Character_Status!D:D))</f>
        <v>324</v>
      </c>
      <c r="G2" s="10" cm="1">
        <f t="array" ref="G2">INDEX(Character_Status!E:E, COUNTA(Character_Status!E:E))</f>
        <v>39</v>
      </c>
      <c r="H2" s="10" cm="1">
        <f t="array" ref="H2">INDEX(Character_Status!F:F, COUNTA(Character_Status!F:F))</f>
        <v>198</v>
      </c>
      <c r="I2" s="10" cm="1">
        <f t="array" ref="I2">INDEX(Character_Status!G:G, COUNTA(Character_Status!G:G))</f>
        <v>156</v>
      </c>
      <c r="J2" s="10" cm="1">
        <f t="array" ref="J2">INDEX(Character_Status!H:H, COUNTA(Character_Status!H:H))</f>
        <v>75</v>
      </c>
      <c r="K2" s="10" cm="1">
        <f t="array" ref="K2">INDEX(Character_Status!I:I, COUNTA(Character_Status!I:I))</f>
        <v>90</v>
      </c>
      <c r="L2" s="10" cm="1">
        <f t="array" ref="L2">INDEX(Character_Status!J:J, COUNTA(Character_Status!J:J))</f>
        <v>45</v>
      </c>
      <c r="M2" s="10" cm="1">
        <f t="array" ref="M2">INDEX(Character_Status!K:K, COUNTA(Character_Status!K:K))</f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52A2-FCFF-1843-9D1D-A0AE484514F5}">
  <dimension ref="A1:V42"/>
  <sheetViews>
    <sheetView tabSelected="1" workbookViewId="0">
      <selection activeCell="K25" sqref="K25"/>
    </sheetView>
  </sheetViews>
  <sheetFormatPr baseColWidth="10" defaultRowHeight="15"/>
  <cols>
    <col min="1" max="1" width="10.83203125" style="8"/>
    <col min="2" max="2" width="11.83203125" style="8" customWidth="1"/>
    <col min="3" max="3" width="10.83203125" style="8"/>
    <col min="4" max="4" width="24" style="8" customWidth="1"/>
    <col min="5" max="5" width="21.5" style="8" customWidth="1"/>
    <col min="6" max="10" width="14" style="8" customWidth="1"/>
    <col min="11" max="11" width="12" style="8" customWidth="1"/>
    <col min="13" max="22" width="10.83203125" style="10"/>
  </cols>
  <sheetData>
    <row r="1" spans="1:11">
      <c r="A1" s="8" t="s">
        <v>219</v>
      </c>
      <c r="B1" s="8" t="s">
        <v>218</v>
      </c>
      <c r="C1" s="8" t="s">
        <v>192</v>
      </c>
      <c r="D1" s="8" t="s">
        <v>292</v>
      </c>
      <c r="E1" s="8" t="s">
        <v>293</v>
      </c>
      <c r="F1" s="8" t="s">
        <v>274</v>
      </c>
      <c r="G1" s="8" t="s">
        <v>276</v>
      </c>
      <c r="H1" s="8" t="s">
        <v>278</v>
      </c>
      <c r="I1" s="8" t="s">
        <v>280</v>
      </c>
      <c r="J1" s="8" t="s">
        <v>282</v>
      </c>
      <c r="K1" s="8" t="s">
        <v>284</v>
      </c>
    </row>
    <row r="2" spans="1:11">
      <c r="A2" s="15">
        <f>IF(B2&lt;config!$A$2,0,INT(LOG(B2/config!$A$2,config!$C$2))+1)</f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</row>
    <row r="3" spans="1:11">
      <c r="A3" s="15">
        <f>IF(B3&lt;config!$A$2,0,INT(LOG(B3/config!$A$2,config!$C$2))+1)</f>
        <v>0</v>
      </c>
      <c r="B3" s="8">
        <f>SUM(D3:K3)</f>
        <v>81</v>
      </c>
      <c r="C3" s="9">
        <v>46226</v>
      </c>
      <c r="D3" s="8">
        <f>EXP_Calculation!B2+D2</f>
        <v>21</v>
      </c>
      <c r="E3" s="8">
        <f>EXP_Calculation!C2+E2</f>
        <v>15</v>
      </c>
      <c r="F3" s="8">
        <f>EXP_Calculation!D2+F2</f>
        <v>14</v>
      </c>
      <c r="G3" s="8">
        <f>EXP_Calculation!E2+G2</f>
        <v>14</v>
      </c>
      <c r="H3" s="8">
        <f>EXP_Calculation!F2+H2</f>
        <v>15</v>
      </c>
      <c r="I3" s="8">
        <f>EXP_Calculation!G2+I2</f>
        <v>0</v>
      </c>
      <c r="J3" s="8">
        <f>EXP_Calculation!H2+J2</f>
        <v>2</v>
      </c>
      <c r="K3" s="8">
        <f>EXP_Calculation!I2+K2</f>
        <v>0</v>
      </c>
    </row>
    <row r="4" spans="1:11">
      <c r="A4" s="15">
        <f>IF(B4&lt;config!$A$2,0,INT(LOG(B4/config!$A$2,config!$C$2))+1)</f>
        <v>0</v>
      </c>
      <c r="B4" s="8">
        <f t="shared" ref="B4:B14" si="0">SUM(D4:K4)</f>
        <v>142</v>
      </c>
      <c r="C4" s="9">
        <v>46227</v>
      </c>
      <c r="D4" s="8">
        <f>EXP_Calculation!B3+D3</f>
        <v>27</v>
      </c>
      <c r="E4" s="8">
        <f>EXP_Calculation!C3+E3</f>
        <v>15</v>
      </c>
      <c r="F4" s="8">
        <f>EXP_Calculation!D3+F3</f>
        <v>52</v>
      </c>
      <c r="G4" s="8">
        <f>EXP_Calculation!E3+G3</f>
        <v>14</v>
      </c>
      <c r="H4" s="8">
        <f>EXP_Calculation!F3+H3</f>
        <v>30</v>
      </c>
      <c r="I4" s="8">
        <f>EXP_Calculation!G3+I3</f>
        <v>0</v>
      </c>
      <c r="J4" s="8">
        <f>EXP_Calculation!H3+J3</f>
        <v>4</v>
      </c>
      <c r="K4" s="8">
        <f>EXP_Calculation!I3+K3</f>
        <v>0</v>
      </c>
    </row>
    <row r="5" spans="1:11">
      <c r="A5" s="15">
        <f>IF(B5&lt;config!$A$2,0,INT(LOG(B5/config!$A$2,config!$C$2))+1)</f>
        <v>1</v>
      </c>
      <c r="B5" s="8">
        <f t="shared" si="0"/>
        <v>215</v>
      </c>
      <c r="C5" s="9">
        <v>46228</v>
      </c>
      <c r="D5" s="8">
        <f>EXP_Calculation!B4+D4</f>
        <v>33</v>
      </c>
      <c r="E5" s="8">
        <f>EXP_Calculation!C4+E4</f>
        <v>27</v>
      </c>
      <c r="F5" s="8">
        <f>EXP_Calculation!D4+F4</f>
        <v>66</v>
      </c>
      <c r="G5" s="8">
        <f>EXP_Calculation!E4+G4</f>
        <v>38</v>
      </c>
      <c r="H5" s="8">
        <f>EXP_Calculation!F4+H4</f>
        <v>30</v>
      </c>
      <c r="I5" s="8">
        <f>EXP_Calculation!G4+I4</f>
        <v>15</v>
      </c>
      <c r="J5" s="8">
        <f>EXP_Calculation!H4+J4</f>
        <v>6</v>
      </c>
      <c r="K5" s="8">
        <f>EXP_Calculation!I4+K4</f>
        <v>0</v>
      </c>
    </row>
    <row r="6" spans="1:11">
      <c r="A6" s="15">
        <f>IF(B6&lt;config!$A$2,0,INT(LOG(B6/config!$A$2,config!$C$2))+1)</f>
        <v>2</v>
      </c>
      <c r="B6" s="8">
        <f t="shared" si="0"/>
        <v>274</v>
      </c>
      <c r="C6" s="9">
        <v>46229</v>
      </c>
      <c r="D6" s="8">
        <f>EXP_Calculation!B5+D5</f>
        <v>48</v>
      </c>
      <c r="E6" s="8">
        <f>EXP_Calculation!C5+E5</f>
        <v>39</v>
      </c>
      <c r="F6" s="8">
        <f>EXP_Calculation!D5+F5</f>
        <v>66</v>
      </c>
      <c r="G6" s="8">
        <f>EXP_Calculation!E5+G5</f>
        <v>38</v>
      </c>
      <c r="H6" s="8">
        <f>EXP_Calculation!F5+H5</f>
        <v>30</v>
      </c>
      <c r="I6" s="8">
        <f>EXP_Calculation!G5+I5</f>
        <v>30</v>
      </c>
      <c r="J6" s="8">
        <f>EXP_Calculation!H5+J5</f>
        <v>23</v>
      </c>
      <c r="K6" s="8">
        <f>EXP_Calculation!I5+K5</f>
        <v>0</v>
      </c>
    </row>
    <row r="7" spans="1:11">
      <c r="A7" s="15">
        <f>IF(B7&lt;config!$A$2,0,INT(LOG(B7/config!$A$2,config!$C$2))+1)</f>
        <v>2</v>
      </c>
      <c r="B7" s="8">
        <f t="shared" si="0"/>
        <v>311</v>
      </c>
      <c r="C7" s="9">
        <v>46230</v>
      </c>
      <c r="D7" s="8">
        <f>EXP_Calculation!B6+D6</f>
        <v>54</v>
      </c>
      <c r="E7" s="8">
        <f>EXP_Calculation!C6+E6</f>
        <v>39</v>
      </c>
      <c r="F7" s="8">
        <f>EXP_Calculation!D6+F6</f>
        <v>80</v>
      </c>
      <c r="G7" s="8">
        <f>EXP_Calculation!E6+G6</f>
        <v>38</v>
      </c>
      <c r="H7" s="8">
        <f>EXP_Calculation!F6+H6</f>
        <v>45</v>
      </c>
      <c r="I7" s="8">
        <f>EXP_Calculation!G6+I6</f>
        <v>30</v>
      </c>
      <c r="J7" s="8">
        <f>EXP_Calculation!H6+J6</f>
        <v>25</v>
      </c>
      <c r="K7" s="8">
        <f>EXP_Calculation!I6+K6</f>
        <v>0</v>
      </c>
    </row>
    <row r="8" spans="1:11">
      <c r="A8" s="15">
        <f>IF(B8&lt;config!$A$2,0,INT(LOG(B8/config!$A$2,config!$C$2))+1)</f>
        <v>2</v>
      </c>
      <c r="B8" s="8">
        <f t="shared" si="0"/>
        <v>357</v>
      </c>
      <c r="C8" s="9">
        <v>46231</v>
      </c>
      <c r="D8" s="8">
        <f>EXP_Calculation!B7+D7</f>
        <v>84</v>
      </c>
      <c r="E8" s="8">
        <f>EXP_Calculation!C7+E7</f>
        <v>39</v>
      </c>
      <c r="F8" s="8">
        <f>EXP_Calculation!D7+F7</f>
        <v>94</v>
      </c>
      <c r="G8" s="8">
        <f>EXP_Calculation!E7+G7</f>
        <v>38</v>
      </c>
      <c r="H8" s="8">
        <f>EXP_Calculation!F7+H7</f>
        <v>45</v>
      </c>
      <c r="I8" s="8">
        <f>EXP_Calculation!G7+I7</f>
        <v>30</v>
      </c>
      <c r="J8" s="8">
        <f>EXP_Calculation!H7+J7</f>
        <v>27</v>
      </c>
      <c r="K8" s="8">
        <f>EXP_Calculation!I7+K7</f>
        <v>0</v>
      </c>
    </row>
    <row r="9" spans="1:11">
      <c r="A9" s="15">
        <f>IF(B9&lt;config!$A$2,0,INT(LOG(B9/config!$A$2,config!$C$2))+1)</f>
        <v>3</v>
      </c>
      <c r="B9" s="8">
        <f t="shared" si="0"/>
        <v>409</v>
      </c>
      <c r="C9" s="9">
        <v>46232</v>
      </c>
      <c r="D9" s="8">
        <f>EXP_Calculation!B8+D8</f>
        <v>114</v>
      </c>
      <c r="E9" s="8">
        <f>EXP_Calculation!C8+E8</f>
        <v>39</v>
      </c>
      <c r="F9" s="8">
        <f>EXP_Calculation!D8+F8</f>
        <v>104</v>
      </c>
      <c r="G9" s="8">
        <f>EXP_Calculation!E8+G8</f>
        <v>48</v>
      </c>
      <c r="H9" s="8">
        <f>EXP_Calculation!F8+H8</f>
        <v>45</v>
      </c>
      <c r="I9" s="8">
        <f>EXP_Calculation!G8+I8</f>
        <v>30</v>
      </c>
      <c r="J9" s="8">
        <f>EXP_Calculation!H8+J8</f>
        <v>29</v>
      </c>
      <c r="K9" s="8">
        <f>EXP_Calculation!I8+K8</f>
        <v>0</v>
      </c>
    </row>
    <row r="10" spans="1:11">
      <c r="A10" s="15">
        <f>IF(B10&lt;config!$A$2,0,INT(LOG(B10/config!$A$2,config!$C$2))+1)</f>
        <v>3</v>
      </c>
      <c r="B10" s="8">
        <f t="shared" si="0"/>
        <v>451</v>
      </c>
      <c r="C10" s="9">
        <v>46233</v>
      </c>
      <c r="D10" s="8">
        <f>EXP_Calculation!B9+D9</f>
        <v>144</v>
      </c>
      <c r="E10" s="8">
        <f>EXP_Calculation!C9+E9</f>
        <v>39</v>
      </c>
      <c r="F10" s="8">
        <f>EXP_Calculation!D9+F9</f>
        <v>114</v>
      </c>
      <c r="G10" s="8">
        <f>EXP_Calculation!E9+G9</f>
        <v>48</v>
      </c>
      <c r="H10" s="8">
        <f>EXP_Calculation!F9+H9</f>
        <v>45</v>
      </c>
      <c r="I10" s="8">
        <f>EXP_Calculation!G9+I9</f>
        <v>30</v>
      </c>
      <c r="J10" s="8">
        <f>EXP_Calculation!H9+J9</f>
        <v>31</v>
      </c>
      <c r="K10" s="8">
        <f>EXP_Calculation!I9+K9</f>
        <v>0</v>
      </c>
    </row>
    <row r="11" spans="1:11">
      <c r="A11" s="15">
        <f>IF(B11&lt;config!$A$2,0,INT(LOG(B11/config!$A$2,config!$C$2))+1)</f>
        <v>3</v>
      </c>
      <c r="B11" s="8">
        <f t="shared" si="0"/>
        <v>483</v>
      </c>
      <c r="C11" s="9">
        <v>46234</v>
      </c>
      <c r="D11" s="8">
        <f>EXP_Calculation!B10+D10</f>
        <v>174</v>
      </c>
      <c r="E11" s="8">
        <f>EXP_Calculation!C10+E10</f>
        <v>39</v>
      </c>
      <c r="F11" s="8">
        <f>EXP_Calculation!D10+F10</f>
        <v>114</v>
      </c>
      <c r="G11" s="8">
        <f>EXP_Calculation!E10+G10</f>
        <v>48</v>
      </c>
      <c r="H11" s="8">
        <f>EXP_Calculation!F10+H10</f>
        <v>45</v>
      </c>
      <c r="I11" s="8">
        <f>EXP_Calculation!G10+I10</f>
        <v>30</v>
      </c>
      <c r="J11" s="8">
        <f>EXP_Calculation!H10+J10</f>
        <v>33</v>
      </c>
      <c r="K11" s="8">
        <f>EXP_Calculation!I10+K10</f>
        <v>0</v>
      </c>
    </row>
    <row r="12" spans="1:11">
      <c r="A12" s="15">
        <f>IF(B12&lt;config!$A$2,0,INT(LOG(B12/config!$A$2,config!$C$2))+1)</f>
        <v>4</v>
      </c>
      <c r="B12" s="8">
        <f t="shared" si="0"/>
        <v>544</v>
      </c>
      <c r="C12" s="9">
        <v>46235</v>
      </c>
      <c r="D12" s="8">
        <f>EXP_Calculation!B11+D11</f>
        <v>204</v>
      </c>
      <c r="E12" s="8">
        <f>EXP_Calculation!C11+E11</f>
        <v>39</v>
      </c>
      <c r="F12" s="8">
        <f>EXP_Calculation!D11+F11</f>
        <v>128</v>
      </c>
      <c r="G12" s="8">
        <f>EXP_Calculation!E11+G11</f>
        <v>48</v>
      </c>
      <c r="H12" s="8">
        <f>EXP_Calculation!F11+H11</f>
        <v>45</v>
      </c>
      <c r="I12" s="8">
        <f>EXP_Calculation!G11+I11</f>
        <v>45</v>
      </c>
      <c r="J12" s="8">
        <f>EXP_Calculation!H11+J11</f>
        <v>35</v>
      </c>
      <c r="K12" s="8">
        <f>EXP_Calculation!I11+K11</f>
        <v>0</v>
      </c>
    </row>
    <row r="13" spans="1:11">
      <c r="A13" s="15">
        <f>IF(B13&lt;config!$A$2,0,INT(LOG(B13/config!$A$2,config!$C$2))+1)</f>
        <v>4</v>
      </c>
      <c r="B13" s="8">
        <f t="shared" si="0"/>
        <v>575</v>
      </c>
      <c r="C13" s="9">
        <v>46236</v>
      </c>
      <c r="D13" s="8">
        <f>EXP_Calculation!B12+D12</f>
        <v>204</v>
      </c>
      <c r="E13" s="8">
        <f>EXP_Calculation!C12+E12</f>
        <v>39</v>
      </c>
      <c r="F13" s="8">
        <f>EXP_Calculation!D12+F12</f>
        <v>142</v>
      </c>
      <c r="G13" s="8">
        <f>EXP_Calculation!E12+G12</f>
        <v>48</v>
      </c>
      <c r="H13" s="8">
        <f>EXP_Calculation!F12+H12</f>
        <v>45</v>
      </c>
      <c r="I13" s="8">
        <f>EXP_Calculation!G12+I12</f>
        <v>60</v>
      </c>
      <c r="J13" s="8">
        <f>EXP_Calculation!H12+J12</f>
        <v>37</v>
      </c>
      <c r="K13" s="8">
        <f>EXP_Calculation!I12+K12</f>
        <v>0</v>
      </c>
    </row>
    <row r="14" spans="1:11">
      <c r="A14" s="15">
        <f>IF(B14&lt;config!$A$2,0,INT(LOG(B14/config!$A$2,config!$C$2))+1)</f>
        <v>4</v>
      </c>
      <c r="B14" s="8">
        <f t="shared" si="0"/>
        <v>636</v>
      </c>
      <c r="C14" s="9">
        <v>46237</v>
      </c>
      <c r="D14" s="8">
        <f>EXP_Calculation!B13+D13</f>
        <v>234</v>
      </c>
      <c r="E14" s="8">
        <f>EXP_Calculation!C13+E13</f>
        <v>39</v>
      </c>
      <c r="F14" s="8">
        <f>EXP_Calculation!D13+F13</f>
        <v>156</v>
      </c>
      <c r="G14" s="8">
        <f>EXP_Calculation!E13+G13</f>
        <v>48</v>
      </c>
      <c r="H14" s="8">
        <f>EXP_Calculation!F13+H13</f>
        <v>60</v>
      </c>
      <c r="I14" s="8">
        <f>EXP_Calculation!G13+I13</f>
        <v>60</v>
      </c>
      <c r="J14" s="8">
        <f>EXP_Calculation!H13+J13</f>
        <v>39</v>
      </c>
      <c r="K14" s="8">
        <f>EXP_Calculation!I13+K13</f>
        <v>0</v>
      </c>
    </row>
    <row r="15" spans="1:11">
      <c r="A15" s="15">
        <f>IF(B15&lt;config!$A$2,0,INT(LOG(B15/config!$A$2,config!$C$2))+1)</f>
        <v>4</v>
      </c>
      <c r="B15" s="8">
        <f t="shared" ref="B15:B16" si="1">SUM(D15:K15)</f>
        <v>692</v>
      </c>
      <c r="C15" s="9">
        <v>46238</v>
      </c>
      <c r="D15" s="8">
        <f>EXP_Calculation!B14+D14</f>
        <v>264</v>
      </c>
      <c r="E15" s="8">
        <f>EXP_Calculation!C14+E14</f>
        <v>39</v>
      </c>
      <c r="F15" s="8">
        <f>EXP_Calculation!D14+F14</f>
        <v>170</v>
      </c>
      <c r="G15" s="8">
        <f>EXP_Calculation!E14+G14</f>
        <v>58</v>
      </c>
      <c r="H15" s="8">
        <f>EXP_Calculation!F14+H14</f>
        <v>60</v>
      </c>
      <c r="I15" s="8">
        <f>EXP_Calculation!G14+I14</f>
        <v>60</v>
      </c>
      <c r="J15" s="8">
        <f>EXP_Calculation!H14+J14</f>
        <v>41</v>
      </c>
      <c r="K15" s="8">
        <f>EXP_Calculation!I14+K14</f>
        <v>0</v>
      </c>
    </row>
    <row r="16" spans="1:11">
      <c r="A16" s="15">
        <f>IF(B16&lt;config!$A$2,0,INT(LOG(B16/config!$A$2,config!$C$2))+1)</f>
        <v>4</v>
      </c>
      <c r="B16" s="8">
        <f t="shared" si="1"/>
        <v>730</v>
      </c>
      <c r="C16" s="9">
        <v>46239</v>
      </c>
      <c r="D16" s="8">
        <f>EXP_Calculation!B15+D15</f>
        <v>264</v>
      </c>
      <c r="E16" s="8">
        <f>EXP_Calculation!C15+E15</f>
        <v>39</v>
      </c>
      <c r="F16" s="8">
        <f>EXP_Calculation!D15+F15</f>
        <v>184</v>
      </c>
      <c r="G16" s="8">
        <f>EXP_Calculation!E15+G15</f>
        <v>82</v>
      </c>
      <c r="H16" s="8">
        <f>EXP_Calculation!F15+H15</f>
        <v>60</v>
      </c>
      <c r="I16" s="8">
        <f>EXP_Calculation!G15+I15</f>
        <v>60</v>
      </c>
      <c r="J16" s="8">
        <f>EXP_Calculation!H15+J15</f>
        <v>41</v>
      </c>
      <c r="K16" s="8">
        <f>EXP_Calculation!I15+K15</f>
        <v>0</v>
      </c>
    </row>
    <row r="17" spans="1:11">
      <c r="A17" s="15">
        <f>IF(B17&lt;config!$A$2,0,INT(LOG(B17/config!$A$2,config!$C$2))+1)</f>
        <v>4</v>
      </c>
      <c r="B17" s="8">
        <f t="shared" ref="B17:B18" si="2">SUM(D17:K17)</f>
        <v>808</v>
      </c>
      <c r="C17" s="9">
        <v>46240</v>
      </c>
      <c r="D17" s="8">
        <f>EXP_Calculation!B16+D16</f>
        <v>294</v>
      </c>
      <c r="E17" s="8">
        <f>EXP_Calculation!C16+E16</f>
        <v>39</v>
      </c>
      <c r="F17" s="8">
        <f>EXP_Calculation!D16+F16</f>
        <v>198</v>
      </c>
      <c r="G17" s="8">
        <f>EXP_Calculation!E16+G16</f>
        <v>116</v>
      </c>
      <c r="H17" s="8">
        <f>EXP_Calculation!F16+H16</f>
        <v>60</v>
      </c>
      <c r="I17" s="8">
        <f>EXP_Calculation!G16+I16</f>
        <v>60</v>
      </c>
      <c r="J17" s="8">
        <f>EXP_Calculation!H16+J16</f>
        <v>41</v>
      </c>
      <c r="K17" s="8">
        <f>EXP_Calculation!I16+K16</f>
        <v>0</v>
      </c>
    </row>
    <row r="18" spans="1:11">
      <c r="A18" s="15">
        <f>IF(B18&lt;config!$A$2,0,INT(LOG(B18/config!$A$2,config!$C$2))+1)</f>
        <v>5</v>
      </c>
      <c r="B18" s="8">
        <f t="shared" si="2"/>
        <v>820</v>
      </c>
      <c r="C18" s="9">
        <v>46241</v>
      </c>
      <c r="D18" s="8">
        <f>EXP_Calculation!B17+D17</f>
        <v>294</v>
      </c>
      <c r="E18" s="8">
        <f>EXP_Calculation!C17+E17</f>
        <v>39</v>
      </c>
      <c r="F18" s="8">
        <f>EXP_Calculation!D17+F17</f>
        <v>198</v>
      </c>
      <c r="G18" s="8">
        <f>EXP_Calculation!E17+G17</f>
        <v>126</v>
      </c>
      <c r="H18" s="8">
        <f>EXP_Calculation!F17+H17</f>
        <v>60</v>
      </c>
      <c r="I18" s="8">
        <f>EXP_Calculation!G17+I17</f>
        <v>60</v>
      </c>
      <c r="J18" s="8">
        <f>EXP_Calculation!H17+J17</f>
        <v>43</v>
      </c>
      <c r="K18" s="8">
        <f>EXP_Calculation!I17+K17</f>
        <v>0</v>
      </c>
    </row>
    <row r="19" spans="1:11">
      <c r="A19" s="15">
        <f>IF(B19&lt;config!$A$2,0,INT(LOG(B19/config!$A$2,config!$C$2))+1)</f>
        <v>5</v>
      </c>
      <c r="B19" s="8">
        <f t="shared" ref="B19:B22" si="3">SUM(D19:K19)</f>
        <v>845</v>
      </c>
      <c r="C19" s="9">
        <v>46242</v>
      </c>
      <c r="D19" s="8">
        <f>EXP_Calculation!B18+D18</f>
        <v>294</v>
      </c>
      <c r="E19" s="8">
        <f>EXP_Calculation!C18+E18</f>
        <v>39</v>
      </c>
      <c r="F19" s="8">
        <f>EXP_Calculation!D18+F18</f>
        <v>198</v>
      </c>
      <c r="G19" s="8">
        <f>EXP_Calculation!E18+G18</f>
        <v>136</v>
      </c>
      <c r="H19" s="8">
        <f>EXP_Calculation!F18+H18</f>
        <v>60</v>
      </c>
      <c r="I19" s="8">
        <f>EXP_Calculation!G18+I18</f>
        <v>75</v>
      </c>
      <c r="J19" s="8">
        <f>EXP_Calculation!H18+J18</f>
        <v>43</v>
      </c>
      <c r="K19" s="8">
        <f>EXP_Calculation!I18+K18</f>
        <v>0</v>
      </c>
    </row>
    <row r="20" spans="1:11">
      <c r="A20" s="15">
        <f>IF(B20&lt;config!$A$2,0,INT(LOG(B20/config!$A$2,config!$C$2))+1)</f>
        <v>5</v>
      </c>
      <c r="B20" s="8">
        <f t="shared" si="3"/>
        <v>885</v>
      </c>
      <c r="C20" s="9">
        <v>46243</v>
      </c>
      <c r="D20" s="8">
        <f>EXP_Calculation!B19+D19</f>
        <v>294</v>
      </c>
      <c r="E20" s="8">
        <f>EXP_Calculation!C19+E19</f>
        <v>39</v>
      </c>
      <c r="F20" s="8">
        <f>EXP_Calculation!D19+F19</f>
        <v>198</v>
      </c>
      <c r="G20" s="8">
        <f>EXP_Calculation!E19+G19</f>
        <v>146</v>
      </c>
      <c r="H20" s="8">
        <f>EXP_Calculation!F19+H19</f>
        <v>60</v>
      </c>
      <c r="I20" s="8">
        <f>EXP_Calculation!G19+I19</f>
        <v>75</v>
      </c>
      <c r="J20" s="8">
        <f>EXP_Calculation!H19+J19</f>
        <v>43</v>
      </c>
      <c r="K20" s="8">
        <f>EXP_Calculation!I19+K19</f>
        <v>30</v>
      </c>
    </row>
    <row r="21" spans="1:11">
      <c r="A21" s="15">
        <f>IF(B21&lt;config!$A$2,0,INT(LOG(B21/config!$A$2,config!$C$2))+1)</f>
        <v>5</v>
      </c>
      <c r="B21" s="8">
        <f t="shared" si="3"/>
        <v>972</v>
      </c>
      <c r="C21" s="9">
        <v>46244</v>
      </c>
      <c r="D21" s="8">
        <f>EXP_Calculation!B20+D20</f>
        <v>324</v>
      </c>
      <c r="E21" s="8">
        <f>EXP_Calculation!C20+E20</f>
        <v>39</v>
      </c>
      <c r="F21" s="8">
        <f>EXP_Calculation!D20+F20</f>
        <v>198</v>
      </c>
      <c r="G21" s="8">
        <f>EXP_Calculation!E20+G20</f>
        <v>156</v>
      </c>
      <c r="H21" s="8">
        <f>EXP_Calculation!F20+H20</f>
        <v>60</v>
      </c>
      <c r="I21" s="8">
        <f>EXP_Calculation!G20+I20</f>
        <v>90</v>
      </c>
      <c r="J21" s="8">
        <f>EXP_Calculation!H20+J20</f>
        <v>45</v>
      </c>
      <c r="K21" s="8">
        <f>EXP_Calculation!I20+K20</f>
        <v>60</v>
      </c>
    </row>
    <row r="22" spans="1:11">
      <c r="A22" s="15">
        <f>IF(B22&lt;config!$A$2,0,INT(LOG(B22/config!$A$2,config!$C$2))+1)</f>
        <v>5</v>
      </c>
      <c r="B22" s="8">
        <f t="shared" si="3"/>
        <v>987</v>
      </c>
      <c r="C22" s="9">
        <v>46245</v>
      </c>
      <c r="D22" s="8">
        <f>EXP_Calculation!B21+D21</f>
        <v>324</v>
      </c>
      <c r="E22" s="8">
        <f>EXP_Calculation!C21+E21</f>
        <v>39</v>
      </c>
      <c r="F22" s="8">
        <f>EXP_Calculation!D21+F21</f>
        <v>198</v>
      </c>
      <c r="G22" s="8">
        <f>EXP_Calculation!E21+G21</f>
        <v>156</v>
      </c>
      <c r="H22" s="8">
        <f>EXP_Calculation!F21+H21</f>
        <v>75</v>
      </c>
      <c r="I22" s="8">
        <f>EXP_Calculation!G21+I21</f>
        <v>90</v>
      </c>
      <c r="J22" s="8">
        <f>EXP_Calculation!H21+J21</f>
        <v>45</v>
      </c>
      <c r="K22" s="8">
        <f>EXP_Calculation!I21+K21</f>
        <v>60</v>
      </c>
    </row>
    <row r="23" spans="1:11">
      <c r="C23" s="9"/>
    </row>
    <row r="24" spans="1:11">
      <c r="C24" s="9"/>
    </row>
    <row r="25" spans="1:11">
      <c r="C25" s="9"/>
    </row>
    <row r="26" spans="1:11">
      <c r="C26" s="9"/>
    </row>
    <row r="27" spans="1:11">
      <c r="C27" s="9"/>
    </row>
    <row r="28" spans="1:11">
      <c r="C28" s="9"/>
    </row>
    <row r="29" spans="1:11">
      <c r="C29" s="9"/>
    </row>
    <row r="30" spans="1:11">
      <c r="C30" s="9"/>
    </row>
    <row r="31" spans="1:11">
      <c r="C31" s="9"/>
    </row>
    <row r="32" spans="1:11">
      <c r="C32" s="9"/>
    </row>
    <row r="33" spans="3:3">
      <c r="C33" s="9"/>
    </row>
    <row r="34" spans="3:3">
      <c r="C34" s="9"/>
    </row>
    <row r="35" spans="3:3">
      <c r="C35" s="9"/>
    </row>
    <row r="36" spans="3:3">
      <c r="C36" s="9"/>
    </row>
    <row r="37" spans="3:3">
      <c r="C37" s="9"/>
    </row>
    <row r="38" spans="3:3">
      <c r="C38" s="9"/>
    </row>
    <row r="39" spans="3:3">
      <c r="C39" s="9"/>
    </row>
    <row r="40" spans="3:3">
      <c r="C40" s="9"/>
    </row>
    <row r="41" spans="3:3">
      <c r="C41" s="9"/>
    </row>
    <row r="42" spans="3:3">
      <c r="C42" s="9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M18" sqref="M18"/>
    </sheetView>
  </sheetViews>
  <sheetFormatPr baseColWidth="10" defaultColWidth="8.83203125" defaultRowHeight="15"/>
  <cols>
    <col min="1" max="1" width="7.5" customWidth="1"/>
    <col min="2" max="2" width="16.1640625" bestFit="1" customWidth="1"/>
    <col min="3" max="11" width="11.33203125" customWidth="1"/>
  </cols>
  <sheetData>
    <row r="1" spans="1:11">
      <c r="A1" s="3" t="s">
        <v>99</v>
      </c>
      <c r="B1" t="s">
        <v>217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</row>
    <row r="2" spans="1:11">
      <c r="A2" s="3" t="s">
        <v>23</v>
      </c>
      <c r="B2" s="3" t="s">
        <v>197</v>
      </c>
      <c r="C2" s="7" t="b">
        <v>1</v>
      </c>
      <c r="D2" s="7" t="b">
        <v>0</v>
      </c>
      <c r="E2" s="7" t="b">
        <v>0</v>
      </c>
      <c r="F2" s="7" t="b">
        <v>1</v>
      </c>
      <c r="G2" s="7" t="b">
        <v>0</v>
      </c>
      <c r="H2" s="7" t="b">
        <v>0</v>
      </c>
      <c r="I2" s="7" t="b">
        <v>0</v>
      </c>
      <c r="J2" s="7" t="b">
        <v>0</v>
      </c>
      <c r="K2" s="7" t="b">
        <v>0</v>
      </c>
    </row>
    <row r="3" spans="1:11">
      <c r="A3" s="3" t="s">
        <v>31</v>
      </c>
      <c r="B3" s="3" t="s">
        <v>198</v>
      </c>
      <c r="C3" s="7" t="b">
        <v>1</v>
      </c>
      <c r="D3" s="7" t="b">
        <v>0</v>
      </c>
      <c r="E3" s="7" t="b">
        <v>0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</row>
    <row r="4" spans="1:11">
      <c r="A4" s="3" t="s">
        <v>32</v>
      </c>
      <c r="B4" s="3" t="s">
        <v>199</v>
      </c>
      <c r="C4" s="7" t="b">
        <v>0</v>
      </c>
      <c r="D4" s="7" t="b">
        <v>0</v>
      </c>
      <c r="E4" s="7" t="b">
        <v>1</v>
      </c>
      <c r="F4" s="7" t="b">
        <v>1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</row>
    <row r="5" spans="1:11">
      <c r="A5" s="3" t="s">
        <v>33</v>
      </c>
      <c r="B5" s="3" t="s">
        <v>200</v>
      </c>
      <c r="C5" s="7" t="b">
        <v>1</v>
      </c>
      <c r="D5" s="7" t="b">
        <v>1</v>
      </c>
      <c r="E5" s="7" t="b">
        <v>1</v>
      </c>
      <c r="F5" s="7" t="b">
        <v>0</v>
      </c>
      <c r="G5" s="7" t="b">
        <v>1</v>
      </c>
      <c r="H5" s="7" t="b">
        <v>0</v>
      </c>
      <c r="I5" s="7" t="b">
        <v>0</v>
      </c>
      <c r="J5" s="7" t="b">
        <v>0</v>
      </c>
      <c r="K5" s="7" t="b">
        <v>0</v>
      </c>
    </row>
    <row r="6" spans="1:11">
      <c r="A6" s="3" t="s">
        <v>34</v>
      </c>
      <c r="B6" s="3" t="s">
        <v>207</v>
      </c>
      <c r="C6" s="7" t="b">
        <v>0</v>
      </c>
      <c r="D6" s="7" t="b">
        <v>0</v>
      </c>
      <c r="E6" s="7" t="b">
        <v>0</v>
      </c>
      <c r="F6" s="7" t="b">
        <v>0</v>
      </c>
      <c r="G6" s="7" t="b">
        <v>0</v>
      </c>
      <c r="H6" s="7" t="b">
        <v>1</v>
      </c>
      <c r="I6" s="7" t="b">
        <v>1</v>
      </c>
      <c r="J6" s="7" t="b">
        <v>1</v>
      </c>
      <c r="K6" s="7" t="b">
        <v>1</v>
      </c>
    </row>
    <row r="7" spans="1:11">
      <c r="A7" s="3" t="s">
        <v>35</v>
      </c>
      <c r="B7" s="3" t="s">
        <v>201</v>
      </c>
      <c r="C7" s="7" t="b">
        <v>1</v>
      </c>
      <c r="D7" s="7" t="b">
        <v>1</v>
      </c>
      <c r="E7" s="7" t="b">
        <v>1</v>
      </c>
      <c r="F7" s="7" t="b">
        <v>0</v>
      </c>
      <c r="G7" s="7" t="b">
        <v>1</v>
      </c>
      <c r="H7" s="7" t="b">
        <v>1</v>
      </c>
      <c r="I7" s="7" t="b">
        <v>0</v>
      </c>
      <c r="J7" s="7" t="b">
        <v>0</v>
      </c>
      <c r="K7" s="7" t="b">
        <v>0</v>
      </c>
    </row>
    <row r="8" spans="1:11">
      <c r="A8" s="3" t="s">
        <v>36</v>
      </c>
      <c r="B8" s="3" t="s">
        <v>202</v>
      </c>
      <c r="C8" s="7" t="b">
        <v>0</v>
      </c>
      <c r="D8" s="7" t="b">
        <v>0</v>
      </c>
      <c r="E8" s="7" t="b">
        <v>0</v>
      </c>
      <c r="F8" s="7" t="b">
        <v>0</v>
      </c>
      <c r="G8" s="7" t="b">
        <v>0</v>
      </c>
      <c r="H8" s="7" t="b">
        <v>0</v>
      </c>
      <c r="I8" s="7" t="b">
        <v>1</v>
      </c>
      <c r="J8" s="7" t="b">
        <v>1</v>
      </c>
      <c r="K8" s="7" t="b">
        <v>0</v>
      </c>
    </row>
    <row r="9" spans="1:11">
      <c r="A9" s="3" t="s">
        <v>37</v>
      </c>
      <c r="B9" s="3" t="s">
        <v>208</v>
      </c>
      <c r="C9" s="7" t="b">
        <v>0</v>
      </c>
      <c r="D9" s="7" t="b">
        <v>0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</row>
    <row r="10" spans="1:11">
      <c r="A10" s="3" t="s">
        <v>38</v>
      </c>
      <c r="B10" s="3" t="s">
        <v>193</v>
      </c>
      <c r="C10" s="7" t="b">
        <v>0</v>
      </c>
      <c r="D10" s="7" t="b">
        <v>1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</row>
    <row r="11" spans="1:11">
      <c r="A11" s="3" t="s">
        <v>39</v>
      </c>
      <c r="B11" s="3" t="s">
        <v>209</v>
      </c>
      <c r="C11" s="7" t="b">
        <v>1</v>
      </c>
      <c r="D11" s="7" t="b">
        <v>0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</row>
    <row r="12" spans="1:11">
      <c r="A12" s="3" t="s">
        <v>40</v>
      </c>
      <c r="B12" s="3" t="s">
        <v>210</v>
      </c>
      <c r="C12" s="7" t="b">
        <v>0</v>
      </c>
      <c r="D12" s="7" t="b">
        <v>0</v>
      </c>
      <c r="E12" s="7" t="b">
        <v>0</v>
      </c>
      <c r="F12" s="7" t="b">
        <v>0</v>
      </c>
      <c r="G12" s="7" t="b">
        <v>0</v>
      </c>
      <c r="H12" s="7" t="b">
        <v>0</v>
      </c>
      <c r="I12" s="7" t="b">
        <v>1</v>
      </c>
      <c r="J12" s="7" t="b">
        <v>0</v>
      </c>
      <c r="K12" s="7" t="b">
        <v>0</v>
      </c>
    </row>
    <row r="13" spans="1:11">
      <c r="A13" s="3" t="s">
        <v>41</v>
      </c>
      <c r="B13" s="3" t="s">
        <v>211</v>
      </c>
      <c r="C13" s="7" t="b">
        <v>0</v>
      </c>
      <c r="D13" s="7" t="b">
        <v>0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</row>
    <row r="14" spans="1:11">
      <c r="A14" s="3" t="s">
        <v>42</v>
      </c>
      <c r="B14" s="3" t="s">
        <v>194</v>
      </c>
      <c r="C14" s="7" t="b">
        <v>0</v>
      </c>
      <c r="D14" s="7" t="b">
        <v>0</v>
      </c>
      <c r="E14" s="7" t="b">
        <v>1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</row>
    <row r="15" spans="1:11">
      <c r="A15" s="3" t="s">
        <v>43</v>
      </c>
      <c r="B15" s="3" t="s">
        <v>83</v>
      </c>
      <c r="C15" s="7" t="b">
        <v>0</v>
      </c>
      <c r="D15" s="7" t="b">
        <v>0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</row>
    <row r="16" spans="1:11">
      <c r="A16" s="3" t="s">
        <v>44</v>
      </c>
      <c r="B16" s="3" t="s">
        <v>212</v>
      </c>
      <c r="C16" s="7" t="b">
        <v>1</v>
      </c>
      <c r="D16" s="7" t="b">
        <v>1</v>
      </c>
      <c r="E16" s="7" t="b">
        <v>0</v>
      </c>
      <c r="F16" s="7" t="b">
        <v>0</v>
      </c>
      <c r="G16" s="7" t="b">
        <v>1</v>
      </c>
      <c r="H16" s="7" t="b">
        <v>0</v>
      </c>
      <c r="I16" s="7" t="b">
        <v>0</v>
      </c>
      <c r="J16" s="7" t="b">
        <v>0</v>
      </c>
      <c r="K16" s="7" t="b">
        <v>0</v>
      </c>
    </row>
    <row r="17" spans="1:11">
      <c r="A17" s="3" t="s">
        <v>45</v>
      </c>
      <c r="B17" s="3" t="s">
        <v>195</v>
      </c>
      <c r="C17" s="7" t="b">
        <v>0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</row>
    <row r="18" spans="1:11">
      <c r="A18" s="3" t="s">
        <v>46</v>
      </c>
      <c r="B18" s="3" t="s">
        <v>213</v>
      </c>
      <c r="C18" s="7" t="b">
        <v>0</v>
      </c>
      <c r="D18" s="7" t="b">
        <v>0</v>
      </c>
      <c r="E18" s="7" t="b">
        <v>1</v>
      </c>
      <c r="F18" s="7" t="b">
        <v>1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</row>
    <row r="19" spans="1:11">
      <c r="A19" s="3" t="s">
        <v>47</v>
      </c>
      <c r="B19" s="3" t="s">
        <v>214</v>
      </c>
      <c r="C19" s="7" t="b">
        <v>0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</row>
    <row r="20" spans="1:11">
      <c r="A20" s="3" t="s">
        <v>48</v>
      </c>
      <c r="B20" s="3" t="s">
        <v>215</v>
      </c>
      <c r="C20" s="7" t="b">
        <v>0</v>
      </c>
      <c r="D20" s="7" t="b">
        <v>0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</row>
    <row r="21" spans="1:11">
      <c r="A21" s="3" t="s">
        <v>49</v>
      </c>
      <c r="B21" s="3" t="s">
        <v>55</v>
      </c>
      <c r="C21" s="7" t="b">
        <v>1</v>
      </c>
      <c r="D21" s="7" t="b">
        <v>1</v>
      </c>
      <c r="E21" s="7" t="b">
        <v>1</v>
      </c>
      <c r="F21" s="7" t="b">
        <v>1</v>
      </c>
      <c r="G21" s="7" t="b">
        <v>1</v>
      </c>
      <c r="H21" s="7" t="b">
        <v>1</v>
      </c>
      <c r="I21" s="7" t="b">
        <v>1</v>
      </c>
      <c r="J21" s="7" t="b">
        <v>1</v>
      </c>
      <c r="K21" s="7" t="b">
        <v>1</v>
      </c>
    </row>
    <row r="22" spans="1:11">
      <c r="A22" s="3" t="s">
        <v>70</v>
      </c>
      <c r="B22" s="3" t="s">
        <v>196</v>
      </c>
      <c r="C22" s="7" t="b">
        <v>0</v>
      </c>
      <c r="D22" s="7" t="b">
        <v>0</v>
      </c>
      <c r="E22" s="7" t="b">
        <v>0</v>
      </c>
      <c r="F22" s="7" t="b">
        <v>1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</row>
    <row r="23" spans="1:11">
      <c r="A23" s="3" t="s">
        <v>71</v>
      </c>
      <c r="B23" t="s">
        <v>216</v>
      </c>
      <c r="C23" s="7" t="b">
        <v>0</v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F94C-C626-4F42-8411-6211F91800C5}">
  <dimension ref="A1:AG23"/>
  <sheetViews>
    <sheetView workbookViewId="0">
      <selection activeCell="G28" sqref="G28"/>
    </sheetView>
  </sheetViews>
  <sheetFormatPr baseColWidth="10" defaultColWidth="8.83203125" defaultRowHeight="15"/>
  <cols>
    <col min="1" max="1" width="7.5" customWidth="1"/>
    <col min="2" max="2" width="16.1640625" bestFit="1" customWidth="1"/>
    <col min="3" max="11" width="10.33203125" customWidth="1"/>
    <col min="12" max="33" width="11.33203125" customWidth="1"/>
  </cols>
  <sheetData>
    <row r="1" spans="1:33">
      <c r="A1" s="3" t="s">
        <v>99</v>
      </c>
      <c r="B1" t="s">
        <v>217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248</v>
      </c>
      <c r="W1" s="1" t="s">
        <v>249</v>
      </c>
      <c r="X1" s="1" t="s">
        <v>250</v>
      </c>
      <c r="Y1" s="1" t="s">
        <v>251</v>
      </c>
      <c r="Z1" s="1" t="s">
        <v>252</v>
      </c>
      <c r="AA1" s="1" t="s">
        <v>253</v>
      </c>
      <c r="AB1" s="1" t="s">
        <v>254</v>
      </c>
      <c r="AC1" s="1" t="s">
        <v>255</v>
      </c>
      <c r="AD1" s="1" t="s">
        <v>256</v>
      </c>
      <c r="AE1" s="1" t="s">
        <v>257</v>
      </c>
      <c r="AF1" s="1" t="s">
        <v>258</v>
      </c>
      <c r="AG1" s="1" t="s">
        <v>259</v>
      </c>
    </row>
    <row r="2" spans="1:33">
      <c r="A2" s="3" t="s">
        <v>23</v>
      </c>
      <c r="B2" s="3" t="s">
        <v>197</v>
      </c>
      <c r="C2" s="7" t="b">
        <v>0</v>
      </c>
      <c r="D2" s="7" t="b">
        <v>0</v>
      </c>
      <c r="E2" s="7" t="b">
        <v>0</v>
      </c>
      <c r="F2" s="7" t="b">
        <v>0</v>
      </c>
      <c r="G2" s="7" t="b">
        <v>0</v>
      </c>
      <c r="H2" s="7" t="b">
        <v>0</v>
      </c>
      <c r="I2" s="7" t="b">
        <v>0</v>
      </c>
      <c r="J2" s="7" t="b">
        <v>0</v>
      </c>
      <c r="K2" s="7" t="b">
        <v>0</v>
      </c>
      <c r="L2" s="7" t="b">
        <v>0</v>
      </c>
      <c r="M2" s="7" t="b">
        <v>0</v>
      </c>
      <c r="N2" s="7" t="b">
        <v>0</v>
      </c>
      <c r="O2" s="7" t="b">
        <v>0</v>
      </c>
      <c r="P2" s="7" t="b">
        <v>0</v>
      </c>
      <c r="Q2" s="7" t="b">
        <v>0</v>
      </c>
      <c r="R2" s="7" t="b">
        <v>0</v>
      </c>
      <c r="S2" s="7" t="b">
        <v>0</v>
      </c>
      <c r="T2" s="7" t="b">
        <v>0</v>
      </c>
      <c r="U2" s="7" t="b">
        <v>0</v>
      </c>
      <c r="V2" s="7" t="b">
        <v>0</v>
      </c>
      <c r="W2" s="7" t="b">
        <v>0</v>
      </c>
      <c r="X2" s="7" t="b">
        <v>0</v>
      </c>
      <c r="Y2" s="7" t="b">
        <v>0</v>
      </c>
      <c r="Z2" s="7" t="b">
        <v>0</v>
      </c>
      <c r="AA2" s="7" t="b">
        <v>0</v>
      </c>
      <c r="AB2" s="7" t="b">
        <v>0</v>
      </c>
      <c r="AC2" s="7" t="b">
        <v>0</v>
      </c>
      <c r="AD2" s="7" t="b">
        <v>0</v>
      </c>
      <c r="AE2" s="7" t="b">
        <v>0</v>
      </c>
      <c r="AF2" s="7" t="b">
        <v>0</v>
      </c>
      <c r="AG2" s="7" t="b">
        <v>0</v>
      </c>
    </row>
    <row r="3" spans="1:33">
      <c r="A3" s="3" t="s">
        <v>31</v>
      </c>
      <c r="B3" s="3" t="s">
        <v>198</v>
      </c>
      <c r="C3" s="7" t="b">
        <v>0</v>
      </c>
      <c r="D3" s="7" t="b">
        <v>0</v>
      </c>
      <c r="E3" s="7" t="b">
        <v>0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7" t="b">
        <v>0</v>
      </c>
      <c r="R3" s="7" t="b">
        <v>0</v>
      </c>
      <c r="S3" s="7" t="b">
        <v>0</v>
      </c>
      <c r="T3" s="7" t="b">
        <v>0</v>
      </c>
      <c r="U3" s="7" t="b">
        <v>0</v>
      </c>
      <c r="V3" s="7" t="b">
        <v>0</v>
      </c>
      <c r="W3" s="7" t="b">
        <v>0</v>
      </c>
      <c r="X3" s="7" t="b">
        <v>0</v>
      </c>
      <c r="Y3" s="7" t="b">
        <v>0</v>
      </c>
      <c r="Z3" s="7" t="b">
        <v>0</v>
      </c>
      <c r="AA3" s="7" t="b">
        <v>0</v>
      </c>
      <c r="AB3" s="7" t="b">
        <v>0</v>
      </c>
      <c r="AC3" s="7" t="b">
        <v>0</v>
      </c>
      <c r="AD3" s="7" t="b">
        <v>0</v>
      </c>
      <c r="AE3" s="7" t="b">
        <v>0</v>
      </c>
      <c r="AF3" s="7" t="b">
        <v>0</v>
      </c>
      <c r="AG3" s="7" t="b">
        <v>0</v>
      </c>
    </row>
    <row r="4" spans="1:33">
      <c r="A4" s="3" t="s">
        <v>32</v>
      </c>
      <c r="B4" s="3" t="s">
        <v>199</v>
      </c>
      <c r="C4" s="7" t="b">
        <v>0</v>
      </c>
      <c r="D4" s="7" t="b">
        <v>0</v>
      </c>
      <c r="E4" s="7" t="b">
        <v>0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7" t="b">
        <v>0</v>
      </c>
      <c r="R4" s="7" t="b">
        <v>0</v>
      </c>
      <c r="S4" s="7" t="b">
        <v>0</v>
      </c>
      <c r="T4" s="7" t="b">
        <v>0</v>
      </c>
      <c r="U4" s="7" t="b">
        <v>0</v>
      </c>
      <c r="V4" s="7" t="b">
        <v>0</v>
      </c>
      <c r="W4" s="7" t="b">
        <v>0</v>
      </c>
      <c r="X4" s="7" t="b">
        <v>0</v>
      </c>
      <c r="Y4" s="7" t="b">
        <v>0</v>
      </c>
      <c r="Z4" s="7" t="b">
        <v>0</v>
      </c>
      <c r="AA4" s="7" t="b">
        <v>0</v>
      </c>
      <c r="AB4" s="7" t="b">
        <v>0</v>
      </c>
      <c r="AC4" s="7" t="b">
        <v>0</v>
      </c>
      <c r="AD4" s="7" t="b">
        <v>0</v>
      </c>
      <c r="AE4" s="7" t="b">
        <v>0</v>
      </c>
      <c r="AF4" s="7" t="b">
        <v>0</v>
      </c>
      <c r="AG4" s="7" t="b">
        <v>0</v>
      </c>
    </row>
    <row r="5" spans="1:33">
      <c r="A5" s="3" t="s">
        <v>33</v>
      </c>
      <c r="B5" s="3" t="s">
        <v>200</v>
      </c>
      <c r="C5" s="7" t="b">
        <v>0</v>
      </c>
      <c r="D5" s="7" t="b">
        <v>0</v>
      </c>
      <c r="E5" s="7" t="b">
        <v>0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7" t="b">
        <v>0</v>
      </c>
      <c r="R5" s="7" t="b">
        <v>0</v>
      </c>
      <c r="S5" s="7" t="b">
        <v>0</v>
      </c>
      <c r="T5" s="7" t="b">
        <v>0</v>
      </c>
      <c r="U5" s="7" t="b">
        <v>0</v>
      </c>
      <c r="V5" s="7" t="b">
        <v>0</v>
      </c>
      <c r="W5" s="7" t="b">
        <v>0</v>
      </c>
      <c r="X5" s="7" t="b">
        <v>0</v>
      </c>
      <c r="Y5" s="7" t="b">
        <v>0</v>
      </c>
      <c r="Z5" s="7" t="b">
        <v>0</v>
      </c>
      <c r="AA5" s="7" t="b">
        <v>0</v>
      </c>
      <c r="AB5" s="7" t="b">
        <v>0</v>
      </c>
      <c r="AC5" s="7" t="b">
        <v>0</v>
      </c>
      <c r="AD5" s="7" t="b">
        <v>0</v>
      </c>
      <c r="AE5" s="7" t="b">
        <v>0</v>
      </c>
      <c r="AF5" s="7" t="b">
        <v>0</v>
      </c>
      <c r="AG5" s="7" t="b">
        <v>0</v>
      </c>
    </row>
    <row r="6" spans="1:33">
      <c r="A6" s="3" t="s">
        <v>34</v>
      </c>
      <c r="B6" s="3" t="s">
        <v>207</v>
      </c>
      <c r="C6" s="7" t="b">
        <v>1</v>
      </c>
      <c r="D6" s="7" t="b">
        <v>0</v>
      </c>
      <c r="E6" s="7" t="b">
        <v>1</v>
      </c>
      <c r="F6" s="7" t="b">
        <v>1</v>
      </c>
      <c r="G6" s="7" t="b">
        <v>0</v>
      </c>
      <c r="H6" s="7" t="b">
        <v>1</v>
      </c>
      <c r="I6" s="7" t="b">
        <v>0</v>
      </c>
      <c r="J6" s="7" t="b">
        <v>0</v>
      </c>
      <c r="K6" s="7" t="b">
        <v>0</v>
      </c>
      <c r="L6" s="7" t="b">
        <v>1</v>
      </c>
      <c r="M6" s="7" t="b">
        <v>0</v>
      </c>
      <c r="N6" s="7" t="b">
        <v>0</v>
      </c>
      <c r="O6" s="7" t="b">
        <v>0</v>
      </c>
      <c r="P6" s="7" t="b">
        <v>0</v>
      </c>
      <c r="Q6" s="7" t="b">
        <v>0</v>
      </c>
      <c r="R6" s="7" t="b">
        <v>0</v>
      </c>
      <c r="S6" s="7" t="b">
        <v>0</v>
      </c>
      <c r="T6" s="7" t="b">
        <v>0</v>
      </c>
      <c r="U6" s="7" t="b">
        <v>0</v>
      </c>
      <c r="V6" s="7" t="b">
        <v>0</v>
      </c>
      <c r="W6" s="7" t="b">
        <v>0</v>
      </c>
      <c r="X6" s="7" t="b">
        <v>0</v>
      </c>
      <c r="Y6" s="7" t="b">
        <v>0</v>
      </c>
      <c r="Z6" s="7" t="b">
        <v>0</v>
      </c>
      <c r="AA6" s="7" t="b">
        <v>0</v>
      </c>
      <c r="AB6" s="7" t="b">
        <v>0</v>
      </c>
      <c r="AC6" s="7" t="b">
        <v>0</v>
      </c>
      <c r="AD6" s="7" t="b">
        <v>0</v>
      </c>
      <c r="AE6" s="7" t="b">
        <v>0</v>
      </c>
      <c r="AF6" s="7" t="b">
        <v>0</v>
      </c>
      <c r="AG6" s="7" t="b">
        <v>0</v>
      </c>
    </row>
    <row r="7" spans="1:33">
      <c r="A7" s="3" t="s">
        <v>35</v>
      </c>
      <c r="B7" s="3" t="s">
        <v>201</v>
      </c>
      <c r="C7" s="7" t="b">
        <v>1</v>
      </c>
      <c r="D7" s="7" t="b">
        <v>1</v>
      </c>
      <c r="E7" s="7" t="b">
        <v>1</v>
      </c>
      <c r="F7" s="7" t="b">
        <v>1</v>
      </c>
      <c r="G7" s="7" t="b">
        <v>1</v>
      </c>
      <c r="H7" s="7" t="b">
        <v>1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7" t="b">
        <v>0</v>
      </c>
      <c r="R7" s="7" t="b">
        <v>0</v>
      </c>
      <c r="S7" s="7" t="b">
        <v>0</v>
      </c>
      <c r="T7" s="7" t="b">
        <v>0</v>
      </c>
      <c r="U7" s="7" t="b">
        <v>0</v>
      </c>
      <c r="V7" s="7" t="b">
        <v>0</v>
      </c>
      <c r="W7" s="7" t="b">
        <v>0</v>
      </c>
      <c r="X7" s="7" t="b">
        <v>0</v>
      </c>
      <c r="Y7" s="7" t="b">
        <v>0</v>
      </c>
      <c r="Z7" s="7" t="b">
        <v>0</v>
      </c>
      <c r="AA7" s="7" t="b">
        <v>0</v>
      </c>
      <c r="AB7" s="7" t="b">
        <v>0</v>
      </c>
      <c r="AC7" s="7" t="b">
        <v>0</v>
      </c>
      <c r="AD7" s="7" t="b">
        <v>0</v>
      </c>
      <c r="AE7" s="7" t="b">
        <v>0</v>
      </c>
      <c r="AF7" s="7" t="b">
        <v>0</v>
      </c>
      <c r="AG7" s="7" t="b">
        <v>0</v>
      </c>
    </row>
    <row r="8" spans="1:33">
      <c r="A8" s="3" t="s">
        <v>36</v>
      </c>
      <c r="B8" s="3" t="s">
        <v>202</v>
      </c>
      <c r="C8" s="7" t="b">
        <v>0</v>
      </c>
      <c r="D8" s="7" t="b">
        <v>0</v>
      </c>
      <c r="E8" s="7" t="b">
        <v>0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7" t="b">
        <v>0</v>
      </c>
      <c r="R8" s="7" t="b">
        <v>0</v>
      </c>
      <c r="S8" s="7" t="b">
        <v>0</v>
      </c>
      <c r="T8" s="7" t="b">
        <v>0</v>
      </c>
      <c r="U8" s="7" t="b">
        <v>0</v>
      </c>
      <c r="V8" s="7" t="b">
        <v>0</v>
      </c>
      <c r="W8" s="7" t="b">
        <v>0</v>
      </c>
      <c r="X8" s="7" t="b">
        <v>0</v>
      </c>
      <c r="Y8" s="7" t="b">
        <v>0</v>
      </c>
      <c r="Z8" s="7" t="b">
        <v>0</v>
      </c>
      <c r="AA8" s="7" t="b">
        <v>0</v>
      </c>
      <c r="AB8" s="7" t="b">
        <v>0</v>
      </c>
      <c r="AC8" s="7" t="b">
        <v>0</v>
      </c>
      <c r="AD8" s="7" t="b">
        <v>0</v>
      </c>
      <c r="AE8" s="7" t="b">
        <v>0</v>
      </c>
      <c r="AF8" s="7" t="b">
        <v>0</v>
      </c>
      <c r="AG8" s="7" t="b">
        <v>0</v>
      </c>
    </row>
    <row r="9" spans="1:33">
      <c r="A9" s="3" t="s">
        <v>37</v>
      </c>
      <c r="B9" s="3" t="s">
        <v>208</v>
      </c>
      <c r="C9" s="7" t="b">
        <v>0</v>
      </c>
      <c r="D9" s="7" t="b">
        <v>0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7" t="b">
        <v>0</v>
      </c>
      <c r="R9" s="7" t="b">
        <v>0</v>
      </c>
      <c r="S9" s="7" t="b">
        <v>0</v>
      </c>
      <c r="T9" s="7" t="b">
        <v>0</v>
      </c>
      <c r="U9" s="7" t="b">
        <v>0</v>
      </c>
      <c r="V9" s="7" t="b">
        <v>0</v>
      </c>
      <c r="W9" s="7" t="b">
        <v>0</v>
      </c>
      <c r="X9" s="7" t="b">
        <v>0</v>
      </c>
      <c r="Y9" s="7" t="b">
        <v>0</v>
      </c>
      <c r="Z9" s="7" t="b">
        <v>0</v>
      </c>
      <c r="AA9" s="7" t="b">
        <v>0</v>
      </c>
      <c r="AB9" s="7" t="b">
        <v>0</v>
      </c>
      <c r="AC9" s="7" t="b">
        <v>0</v>
      </c>
      <c r="AD9" s="7" t="b">
        <v>0</v>
      </c>
      <c r="AE9" s="7" t="b">
        <v>0</v>
      </c>
      <c r="AF9" s="7" t="b">
        <v>0</v>
      </c>
      <c r="AG9" s="7" t="b">
        <v>0</v>
      </c>
    </row>
    <row r="10" spans="1:33">
      <c r="A10" s="3" t="s">
        <v>38</v>
      </c>
      <c r="B10" s="3" t="s">
        <v>193</v>
      </c>
      <c r="C10" s="7" t="b">
        <v>0</v>
      </c>
      <c r="D10" s="7" t="b">
        <v>0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7" t="b">
        <v>0</v>
      </c>
      <c r="R10" s="7" t="b">
        <v>0</v>
      </c>
      <c r="S10" s="7" t="b">
        <v>0</v>
      </c>
      <c r="T10" s="7" t="b">
        <v>0</v>
      </c>
      <c r="U10" s="7" t="b">
        <v>0</v>
      </c>
      <c r="V10" s="7" t="b">
        <v>0</v>
      </c>
      <c r="W10" s="7" t="b">
        <v>0</v>
      </c>
      <c r="X10" s="7" t="b">
        <v>0</v>
      </c>
      <c r="Y10" s="7" t="b">
        <v>0</v>
      </c>
      <c r="Z10" s="7" t="b">
        <v>0</v>
      </c>
      <c r="AA10" s="7" t="b">
        <v>0</v>
      </c>
      <c r="AB10" s="7" t="b">
        <v>0</v>
      </c>
      <c r="AC10" s="7" t="b">
        <v>0</v>
      </c>
      <c r="AD10" s="7" t="b">
        <v>0</v>
      </c>
      <c r="AE10" s="7" t="b">
        <v>0</v>
      </c>
      <c r="AF10" s="7" t="b">
        <v>0</v>
      </c>
      <c r="AG10" s="7" t="b">
        <v>0</v>
      </c>
    </row>
    <row r="11" spans="1:33">
      <c r="A11" s="3" t="s">
        <v>39</v>
      </c>
      <c r="B11" s="3" t="s">
        <v>209</v>
      </c>
      <c r="C11" s="7" t="b">
        <v>0</v>
      </c>
      <c r="D11" s="7" t="b">
        <v>0</v>
      </c>
      <c r="E11" s="7" t="b">
        <v>0</v>
      </c>
      <c r="F11" s="7" t="b">
        <v>0</v>
      </c>
      <c r="G11" s="7" t="b">
        <v>1</v>
      </c>
      <c r="H11" s="7" t="b">
        <v>0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7" t="b">
        <v>0</v>
      </c>
      <c r="R11" s="7" t="b">
        <v>0</v>
      </c>
      <c r="S11" s="7" t="b">
        <v>0</v>
      </c>
      <c r="T11" s="7" t="b">
        <v>0</v>
      </c>
      <c r="U11" s="7" t="b">
        <v>0</v>
      </c>
      <c r="V11" s="7" t="b">
        <v>0</v>
      </c>
      <c r="W11" s="7" t="b">
        <v>0</v>
      </c>
      <c r="X11" s="7" t="b">
        <v>0</v>
      </c>
      <c r="Y11" s="7" t="b">
        <v>0</v>
      </c>
      <c r="Z11" s="7" t="b">
        <v>0</v>
      </c>
      <c r="AA11" s="7" t="b">
        <v>0</v>
      </c>
      <c r="AB11" s="7" t="b">
        <v>0</v>
      </c>
      <c r="AC11" s="7" t="b">
        <v>0</v>
      </c>
      <c r="AD11" s="7" t="b">
        <v>0</v>
      </c>
      <c r="AE11" s="7" t="b">
        <v>0</v>
      </c>
      <c r="AF11" s="7" t="b">
        <v>0</v>
      </c>
      <c r="AG11" s="7" t="b">
        <v>0</v>
      </c>
    </row>
    <row r="12" spans="1:33">
      <c r="A12" s="3" t="s">
        <v>40</v>
      </c>
      <c r="B12" s="3" t="s">
        <v>210</v>
      </c>
      <c r="C12" s="7" t="b">
        <v>0</v>
      </c>
      <c r="D12" s="7" t="b">
        <v>0</v>
      </c>
      <c r="E12" s="7" t="b">
        <v>0</v>
      </c>
      <c r="F12" s="7" t="b">
        <v>1</v>
      </c>
      <c r="G12" s="7" t="b">
        <v>1</v>
      </c>
      <c r="H12" s="7" t="b">
        <v>1</v>
      </c>
      <c r="I12" s="7" t="b">
        <v>1</v>
      </c>
      <c r="J12" s="7" t="b">
        <v>1</v>
      </c>
      <c r="K12" s="7" t="b">
        <v>1</v>
      </c>
      <c r="L12" s="7" t="b">
        <v>1</v>
      </c>
      <c r="M12" s="7" t="b">
        <v>0</v>
      </c>
      <c r="N12" s="7" t="b">
        <v>0</v>
      </c>
      <c r="O12" s="7" t="b">
        <v>0</v>
      </c>
      <c r="P12" s="7" t="b">
        <v>0</v>
      </c>
      <c r="Q12" s="7" t="b">
        <v>0</v>
      </c>
      <c r="R12" s="7" t="b">
        <v>0</v>
      </c>
      <c r="S12" s="7" t="b">
        <v>0</v>
      </c>
      <c r="T12" s="7" t="b">
        <v>0</v>
      </c>
      <c r="U12" s="7" t="b">
        <v>0</v>
      </c>
      <c r="V12" s="7" t="b">
        <v>0</v>
      </c>
      <c r="W12" s="7" t="b">
        <v>0</v>
      </c>
      <c r="X12" s="7" t="b">
        <v>0</v>
      </c>
      <c r="Y12" s="7" t="b">
        <v>0</v>
      </c>
      <c r="Z12" s="7" t="b">
        <v>0</v>
      </c>
      <c r="AA12" s="7" t="b">
        <v>0</v>
      </c>
      <c r="AB12" s="7" t="b">
        <v>0</v>
      </c>
      <c r="AC12" s="7" t="b">
        <v>0</v>
      </c>
      <c r="AD12" s="7" t="b">
        <v>0</v>
      </c>
      <c r="AE12" s="7" t="b">
        <v>0</v>
      </c>
      <c r="AF12" s="7" t="b">
        <v>0</v>
      </c>
      <c r="AG12" s="7" t="b">
        <v>0</v>
      </c>
    </row>
    <row r="13" spans="1:33">
      <c r="A13" s="3" t="s">
        <v>41</v>
      </c>
      <c r="B13" s="3" t="s">
        <v>211</v>
      </c>
      <c r="C13" s="7" t="b">
        <v>0</v>
      </c>
      <c r="D13" s="7" t="b">
        <v>0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7" t="b">
        <v>0</v>
      </c>
      <c r="R13" s="7" t="b">
        <v>0</v>
      </c>
      <c r="S13" s="7" t="b">
        <v>0</v>
      </c>
      <c r="T13" s="7" t="b">
        <v>0</v>
      </c>
      <c r="U13" s="7" t="b">
        <v>0</v>
      </c>
      <c r="V13" s="7" t="b">
        <v>0</v>
      </c>
      <c r="W13" s="7" t="b">
        <v>0</v>
      </c>
      <c r="X13" s="7" t="b">
        <v>0</v>
      </c>
      <c r="Y13" s="7" t="b">
        <v>0</v>
      </c>
      <c r="Z13" s="7" t="b">
        <v>0</v>
      </c>
      <c r="AA13" s="7" t="b">
        <v>0</v>
      </c>
      <c r="AB13" s="7" t="b">
        <v>0</v>
      </c>
      <c r="AC13" s="7" t="b">
        <v>0</v>
      </c>
      <c r="AD13" s="7" t="b">
        <v>0</v>
      </c>
      <c r="AE13" s="7" t="b">
        <v>0</v>
      </c>
      <c r="AF13" s="7" t="b">
        <v>0</v>
      </c>
      <c r="AG13" s="7" t="b">
        <v>0</v>
      </c>
    </row>
    <row r="14" spans="1:33">
      <c r="A14" s="3" t="s">
        <v>42</v>
      </c>
      <c r="B14" s="3" t="s">
        <v>194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1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7" t="b">
        <v>0</v>
      </c>
      <c r="W14" s="7" t="b">
        <v>0</v>
      </c>
      <c r="X14" s="7" t="b">
        <v>0</v>
      </c>
      <c r="Y14" s="7" t="b">
        <v>0</v>
      </c>
      <c r="Z14" s="7" t="b">
        <v>0</v>
      </c>
      <c r="AA14" s="7" t="b">
        <v>0</v>
      </c>
      <c r="AB14" s="7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</row>
    <row r="15" spans="1:33">
      <c r="A15" s="3" t="s">
        <v>43</v>
      </c>
      <c r="B15" s="3" t="s">
        <v>83</v>
      </c>
      <c r="C15" s="7" t="b">
        <v>0</v>
      </c>
      <c r="D15" s="7" t="b">
        <v>0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7" t="b">
        <v>0</v>
      </c>
      <c r="R15" s="7" t="b">
        <v>0</v>
      </c>
      <c r="S15" s="7" t="b">
        <v>0</v>
      </c>
      <c r="T15" s="7" t="b">
        <v>0</v>
      </c>
      <c r="U15" s="7" t="b">
        <v>0</v>
      </c>
      <c r="V15" s="7" t="b">
        <v>0</v>
      </c>
      <c r="W15" s="7" t="b">
        <v>0</v>
      </c>
      <c r="X15" s="7" t="b">
        <v>0</v>
      </c>
      <c r="Y15" s="7" t="b">
        <v>0</v>
      </c>
      <c r="Z15" s="7" t="b">
        <v>0</v>
      </c>
      <c r="AA15" s="7" t="b">
        <v>0</v>
      </c>
      <c r="AB15" s="7" t="b">
        <v>0</v>
      </c>
      <c r="AC15" s="7" t="b">
        <v>0</v>
      </c>
      <c r="AD15" s="7" t="b">
        <v>0</v>
      </c>
      <c r="AE15" s="7" t="b">
        <v>0</v>
      </c>
      <c r="AF15" s="7" t="b">
        <v>0</v>
      </c>
      <c r="AG15" s="7" t="b">
        <v>0</v>
      </c>
    </row>
    <row r="16" spans="1:33">
      <c r="A16" s="3" t="s">
        <v>44</v>
      </c>
      <c r="B16" s="3" t="s">
        <v>212</v>
      </c>
      <c r="C16" s="7" t="b">
        <v>0</v>
      </c>
      <c r="D16" s="7" t="b">
        <v>0</v>
      </c>
      <c r="E16" s="7" t="b">
        <v>1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1</v>
      </c>
      <c r="N16" s="7" t="b">
        <v>0</v>
      </c>
      <c r="O16" s="7" t="b">
        <v>0</v>
      </c>
      <c r="P16" s="7" t="b">
        <v>0</v>
      </c>
      <c r="Q16" s="7" t="b">
        <v>0</v>
      </c>
      <c r="R16" s="7" t="b">
        <v>0</v>
      </c>
      <c r="S16" s="7" t="b">
        <v>0</v>
      </c>
      <c r="T16" s="7" t="b">
        <v>0</v>
      </c>
      <c r="U16" s="7" t="b">
        <v>0</v>
      </c>
      <c r="V16" s="7" t="b">
        <v>0</v>
      </c>
      <c r="W16" s="7" t="b">
        <v>0</v>
      </c>
      <c r="X16" s="7" t="b">
        <v>0</v>
      </c>
      <c r="Y16" s="7" t="b">
        <v>0</v>
      </c>
      <c r="Z16" s="7" t="b">
        <v>0</v>
      </c>
      <c r="AA16" s="7" t="b">
        <v>0</v>
      </c>
      <c r="AB16" s="7" t="b">
        <v>0</v>
      </c>
      <c r="AC16" s="7" t="b">
        <v>0</v>
      </c>
      <c r="AD16" s="7" t="b">
        <v>0</v>
      </c>
      <c r="AE16" s="7" t="b">
        <v>0</v>
      </c>
      <c r="AF16" s="7" t="b">
        <v>0</v>
      </c>
      <c r="AG16" s="7" t="b">
        <v>0</v>
      </c>
    </row>
    <row r="17" spans="1:33">
      <c r="A17" s="3" t="s">
        <v>45</v>
      </c>
      <c r="B17" s="3" t="s">
        <v>195</v>
      </c>
      <c r="C17" s="7" t="b">
        <v>0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7" t="b">
        <v>0</v>
      </c>
      <c r="R17" s="7" t="b">
        <v>0</v>
      </c>
      <c r="S17" s="7" t="b">
        <v>0</v>
      </c>
      <c r="T17" s="7" t="b">
        <v>0</v>
      </c>
      <c r="U17" s="7" t="b">
        <v>0</v>
      </c>
      <c r="V17" s="7" t="b">
        <v>0</v>
      </c>
      <c r="W17" s="7" t="b">
        <v>0</v>
      </c>
      <c r="X17" s="7" t="b">
        <v>0</v>
      </c>
      <c r="Y17" s="7" t="b">
        <v>0</v>
      </c>
      <c r="Z17" s="7" t="b">
        <v>0</v>
      </c>
      <c r="AA17" s="7" t="b">
        <v>0</v>
      </c>
      <c r="AB17" s="7" t="b">
        <v>0</v>
      </c>
      <c r="AC17" s="7" t="b">
        <v>0</v>
      </c>
      <c r="AD17" s="7" t="b">
        <v>0</v>
      </c>
      <c r="AE17" s="7" t="b">
        <v>0</v>
      </c>
      <c r="AF17" s="7" t="b">
        <v>0</v>
      </c>
      <c r="AG17" s="7" t="b">
        <v>0</v>
      </c>
    </row>
    <row r="18" spans="1:33">
      <c r="A18" s="3" t="s">
        <v>46</v>
      </c>
      <c r="B18" s="3" t="s">
        <v>213</v>
      </c>
      <c r="C18" s="7" t="b">
        <v>1</v>
      </c>
      <c r="D18" s="7" t="b">
        <v>1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1</v>
      </c>
      <c r="K18" s="7" t="b">
        <v>0</v>
      </c>
      <c r="L18" s="7" t="b">
        <v>1</v>
      </c>
      <c r="M18" s="7" t="b">
        <v>0</v>
      </c>
      <c r="N18" s="7" t="b">
        <v>0</v>
      </c>
      <c r="O18" s="7" t="b">
        <v>0</v>
      </c>
      <c r="P18" s="7" t="b">
        <v>0</v>
      </c>
      <c r="Q18" s="7" t="b">
        <v>0</v>
      </c>
      <c r="R18" s="7" t="b">
        <v>0</v>
      </c>
      <c r="S18" s="7" t="b">
        <v>0</v>
      </c>
      <c r="T18" s="7" t="b">
        <v>0</v>
      </c>
      <c r="U18" s="7" t="b">
        <v>0</v>
      </c>
      <c r="V18" s="7" t="b">
        <v>0</v>
      </c>
      <c r="W18" s="7" t="b">
        <v>0</v>
      </c>
      <c r="X18" s="7" t="b">
        <v>0</v>
      </c>
      <c r="Y18" s="7" t="b">
        <v>0</v>
      </c>
      <c r="Z18" s="7" t="b">
        <v>0</v>
      </c>
      <c r="AA18" s="7" t="b">
        <v>0</v>
      </c>
      <c r="AB18" s="7" t="b">
        <v>0</v>
      </c>
      <c r="AC18" s="7" t="b">
        <v>0</v>
      </c>
      <c r="AD18" s="7" t="b">
        <v>0</v>
      </c>
      <c r="AE18" s="7" t="b">
        <v>0</v>
      </c>
      <c r="AF18" s="7" t="b">
        <v>0</v>
      </c>
      <c r="AG18" s="7" t="b">
        <v>0</v>
      </c>
    </row>
    <row r="19" spans="1:33">
      <c r="A19" s="3" t="s">
        <v>47</v>
      </c>
      <c r="B19" s="3" t="s">
        <v>214</v>
      </c>
      <c r="C19" s="7" t="b">
        <v>0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7" t="b">
        <v>0</v>
      </c>
      <c r="R19" s="7" t="b">
        <v>0</v>
      </c>
      <c r="S19" s="7" t="b">
        <v>0</v>
      </c>
      <c r="T19" s="7" t="b">
        <v>0</v>
      </c>
      <c r="U19" s="7" t="b">
        <v>0</v>
      </c>
      <c r="V19" s="7" t="b">
        <v>0</v>
      </c>
      <c r="W19" s="7" t="b">
        <v>0</v>
      </c>
      <c r="X19" s="7" t="b">
        <v>0</v>
      </c>
      <c r="Y19" s="7" t="b">
        <v>0</v>
      </c>
      <c r="Z19" s="7" t="b">
        <v>0</v>
      </c>
      <c r="AA19" s="7" t="b">
        <v>0</v>
      </c>
      <c r="AB19" s="7" t="b">
        <v>0</v>
      </c>
      <c r="AC19" s="7" t="b">
        <v>0</v>
      </c>
      <c r="AD19" s="7" t="b">
        <v>0</v>
      </c>
      <c r="AE19" s="7" t="b">
        <v>0</v>
      </c>
      <c r="AF19" s="7" t="b">
        <v>0</v>
      </c>
      <c r="AG19" s="7" t="b">
        <v>0</v>
      </c>
    </row>
    <row r="20" spans="1:33">
      <c r="A20" s="3" t="s">
        <v>48</v>
      </c>
      <c r="B20" s="3" t="s">
        <v>215</v>
      </c>
      <c r="C20" s="7" t="b">
        <v>0</v>
      </c>
      <c r="D20" s="7" t="b">
        <v>0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7" t="b">
        <v>0</v>
      </c>
      <c r="R20" s="7" t="b">
        <v>0</v>
      </c>
      <c r="S20" s="7" t="b">
        <v>0</v>
      </c>
      <c r="T20" s="7" t="b">
        <v>0</v>
      </c>
      <c r="U20" s="7" t="b">
        <v>0</v>
      </c>
      <c r="V20" s="7" t="b">
        <v>0</v>
      </c>
      <c r="W20" s="7" t="b">
        <v>0</v>
      </c>
      <c r="X20" s="7" t="b">
        <v>0</v>
      </c>
      <c r="Y20" s="7" t="b">
        <v>0</v>
      </c>
      <c r="Z20" s="7" t="b">
        <v>0</v>
      </c>
      <c r="AA20" s="7" t="b">
        <v>0</v>
      </c>
      <c r="AB20" s="7" t="b">
        <v>0</v>
      </c>
      <c r="AC20" s="7" t="b">
        <v>0</v>
      </c>
      <c r="AD20" s="7" t="b">
        <v>0</v>
      </c>
      <c r="AE20" s="7" t="b">
        <v>0</v>
      </c>
      <c r="AF20" s="7" t="b">
        <v>0</v>
      </c>
      <c r="AG20" s="7" t="b">
        <v>0</v>
      </c>
    </row>
    <row r="21" spans="1:33">
      <c r="A21" s="3" t="s">
        <v>49</v>
      </c>
      <c r="B21" s="3" t="s">
        <v>55</v>
      </c>
      <c r="C21" s="7" t="b">
        <v>1</v>
      </c>
      <c r="D21" s="7" t="b">
        <v>1</v>
      </c>
      <c r="E21" s="7" t="b">
        <v>1</v>
      </c>
      <c r="F21" s="7" t="b">
        <v>1</v>
      </c>
      <c r="G21" s="7" t="b">
        <v>0</v>
      </c>
      <c r="H21" s="7" t="b">
        <v>0</v>
      </c>
      <c r="I21" s="7" t="b">
        <v>1</v>
      </c>
      <c r="J21" s="7" t="b">
        <v>0</v>
      </c>
      <c r="K21" s="7" t="b">
        <v>0</v>
      </c>
      <c r="L21" s="7" t="b">
        <v>1</v>
      </c>
      <c r="M21" s="7" t="b">
        <v>0</v>
      </c>
      <c r="N21" s="7" t="b">
        <v>0</v>
      </c>
      <c r="O21" s="7" t="b">
        <v>0</v>
      </c>
      <c r="P21" s="7" t="b">
        <v>0</v>
      </c>
      <c r="Q21" s="7" t="b">
        <v>0</v>
      </c>
      <c r="R21" s="7" t="b">
        <v>0</v>
      </c>
      <c r="S21" s="7" t="b">
        <v>0</v>
      </c>
      <c r="T21" s="7" t="b">
        <v>0</v>
      </c>
      <c r="U21" s="7" t="b">
        <v>0</v>
      </c>
      <c r="V21" s="7" t="b">
        <v>0</v>
      </c>
      <c r="W21" s="7" t="b">
        <v>0</v>
      </c>
      <c r="X21" s="7" t="b">
        <v>0</v>
      </c>
      <c r="Y21" s="7" t="b">
        <v>0</v>
      </c>
      <c r="Z21" s="7" t="b">
        <v>0</v>
      </c>
      <c r="AA21" s="7" t="b">
        <v>0</v>
      </c>
      <c r="AB21" s="7" t="b">
        <v>0</v>
      </c>
      <c r="AC21" s="7" t="b">
        <v>0</v>
      </c>
      <c r="AD21" s="7" t="b">
        <v>0</v>
      </c>
      <c r="AE21" s="7" t="b">
        <v>0</v>
      </c>
      <c r="AF21" s="7" t="b">
        <v>0</v>
      </c>
      <c r="AG21" s="7" t="b">
        <v>0</v>
      </c>
    </row>
    <row r="22" spans="1:33">
      <c r="A22" s="3" t="s">
        <v>70</v>
      </c>
      <c r="B22" s="3" t="s">
        <v>196</v>
      </c>
      <c r="C22" s="7" t="b">
        <v>0</v>
      </c>
      <c r="D22" s="7" t="b">
        <v>0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7" t="b">
        <v>0</v>
      </c>
      <c r="R22" s="7" t="b">
        <v>0</v>
      </c>
      <c r="S22" s="7" t="b">
        <v>0</v>
      </c>
      <c r="T22" s="7" t="b">
        <v>0</v>
      </c>
      <c r="U22" s="7" t="b">
        <v>0</v>
      </c>
      <c r="V22" s="7" t="b">
        <v>0</v>
      </c>
      <c r="W22" s="7" t="b">
        <v>0</v>
      </c>
      <c r="X22" s="7" t="b">
        <v>0</v>
      </c>
      <c r="Y22" s="7" t="b">
        <v>0</v>
      </c>
      <c r="Z22" s="7" t="b">
        <v>0</v>
      </c>
      <c r="AA22" s="7" t="b">
        <v>0</v>
      </c>
      <c r="AB22" s="7" t="b">
        <v>0</v>
      </c>
      <c r="AC22" s="7" t="b">
        <v>0</v>
      </c>
      <c r="AD22" s="7" t="b">
        <v>0</v>
      </c>
      <c r="AE22" s="7" t="b">
        <v>0</v>
      </c>
      <c r="AF22" s="7" t="b">
        <v>0</v>
      </c>
      <c r="AG22" s="7" t="b">
        <v>0</v>
      </c>
    </row>
    <row r="23" spans="1:33">
      <c r="A23" s="3" t="s">
        <v>71</v>
      </c>
      <c r="B23" t="s">
        <v>216</v>
      </c>
      <c r="C23" s="7" t="b">
        <v>0</v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1</v>
      </c>
      <c r="L23" s="7" t="b">
        <v>1</v>
      </c>
      <c r="M23" s="7" t="b">
        <v>0</v>
      </c>
      <c r="N23" s="7" t="b">
        <v>0</v>
      </c>
      <c r="O23" s="7" t="b">
        <v>0</v>
      </c>
      <c r="P23" s="7" t="b">
        <v>0</v>
      </c>
      <c r="Q23" s="7" t="b">
        <v>0</v>
      </c>
      <c r="R23" s="7" t="b">
        <v>0</v>
      </c>
      <c r="S23" s="7" t="b">
        <v>0</v>
      </c>
      <c r="T23" s="7" t="b">
        <v>0</v>
      </c>
      <c r="U23" s="7" t="b">
        <v>0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0</v>
      </c>
      <c r="AA23" s="7" t="b">
        <v>0</v>
      </c>
      <c r="AB23" s="7" t="b">
        <v>0</v>
      </c>
      <c r="AC23" s="7" t="b">
        <v>0</v>
      </c>
      <c r="AD23" s="7" t="b">
        <v>0</v>
      </c>
      <c r="AE23" s="7" t="b">
        <v>0</v>
      </c>
      <c r="AF23" s="7" t="b">
        <v>0</v>
      </c>
      <c r="AG23" s="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baseColWidth="10" defaultColWidth="8.83203125" defaultRowHeight="15"/>
  <cols>
    <col min="2" max="2" width="23.6640625" style="2" bestFit="1" customWidth="1"/>
    <col min="3" max="3" width="10.6640625" style="2" bestFit="1" customWidth="1"/>
    <col min="4" max="4" width="20.83203125" style="2" bestFit="1" customWidth="1"/>
    <col min="5" max="5" width="12.6640625" style="2" bestFit="1" customWidth="1"/>
    <col min="7" max="7" width="10.5" style="2" bestFit="1" customWidth="1"/>
  </cols>
  <sheetData>
    <row r="1" spans="1:7">
      <c r="A1" t="s">
        <v>98</v>
      </c>
      <c r="B1" t="s">
        <v>24</v>
      </c>
      <c r="C1" t="s">
        <v>26</v>
      </c>
      <c r="D1" t="s">
        <v>25</v>
      </c>
      <c r="E1" t="s">
        <v>29</v>
      </c>
      <c r="F1" t="s">
        <v>27</v>
      </c>
      <c r="G1" t="s">
        <v>28</v>
      </c>
    </row>
    <row r="2" spans="1:7">
      <c r="A2" t="s">
        <v>0</v>
      </c>
      <c r="B2" t="s">
        <v>290</v>
      </c>
      <c r="C2" t="s">
        <v>1</v>
      </c>
      <c r="D2" t="s">
        <v>19</v>
      </c>
      <c r="E2">
        <v>1</v>
      </c>
      <c r="F2">
        <v>1</v>
      </c>
      <c r="G2" s="1">
        <v>46226</v>
      </c>
    </row>
    <row r="3" spans="1:7">
      <c r="A3" t="s">
        <v>2</v>
      </c>
      <c r="B3" t="s">
        <v>291</v>
      </c>
      <c r="C3" t="s">
        <v>3</v>
      </c>
      <c r="D3" t="s">
        <v>19</v>
      </c>
      <c r="E3">
        <v>2</v>
      </c>
      <c r="F3">
        <v>1</v>
      </c>
      <c r="G3" s="1">
        <v>46226</v>
      </c>
    </row>
    <row r="4" spans="1:7">
      <c r="A4" t="s">
        <v>4</v>
      </c>
      <c r="B4" t="s">
        <v>5</v>
      </c>
      <c r="C4" t="s">
        <v>6</v>
      </c>
      <c r="D4" t="s">
        <v>20</v>
      </c>
      <c r="E4">
        <v>3</v>
      </c>
      <c r="F4">
        <v>1</v>
      </c>
      <c r="G4" s="1">
        <v>46226</v>
      </c>
    </row>
    <row r="5" spans="1:7">
      <c r="A5" t="s">
        <v>7</v>
      </c>
      <c r="B5" t="s">
        <v>8</v>
      </c>
      <c r="C5" t="s">
        <v>6</v>
      </c>
      <c r="D5" t="s">
        <v>20</v>
      </c>
      <c r="E5">
        <v>4</v>
      </c>
      <c r="F5">
        <v>1</v>
      </c>
      <c r="G5" s="1">
        <v>46226</v>
      </c>
    </row>
    <row r="6" spans="1:7">
      <c r="A6" t="s">
        <v>9</v>
      </c>
      <c r="B6" t="s">
        <v>16</v>
      </c>
      <c r="C6" t="s">
        <v>1</v>
      </c>
      <c r="D6" t="s">
        <v>21</v>
      </c>
      <c r="E6">
        <v>5</v>
      </c>
      <c r="F6">
        <v>1</v>
      </c>
      <c r="G6" s="1">
        <v>46226</v>
      </c>
    </row>
    <row r="7" spans="1:7">
      <c r="A7" t="s">
        <v>10</v>
      </c>
      <c r="B7" t="s">
        <v>14</v>
      </c>
      <c r="C7" t="s">
        <v>12</v>
      </c>
      <c r="D7" t="s">
        <v>21</v>
      </c>
      <c r="E7">
        <v>6</v>
      </c>
      <c r="F7">
        <v>1</v>
      </c>
      <c r="G7" s="1">
        <v>46226</v>
      </c>
    </row>
    <row r="8" spans="1:7">
      <c r="A8" t="s">
        <v>13</v>
      </c>
      <c r="B8" t="s">
        <v>11</v>
      </c>
      <c r="C8" t="s">
        <v>12</v>
      </c>
      <c r="D8" t="s">
        <v>21</v>
      </c>
      <c r="E8">
        <v>7</v>
      </c>
      <c r="F8">
        <v>1</v>
      </c>
      <c r="G8" s="1">
        <v>46226</v>
      </c>
    </row>
    <row r="9" spans="1:7">
      <c r="A9" t="s">
        <v>15</v>
      </c>
      <c r="B9" t="s">
        <v>17</v>
      </c>
      <c r="C9" t="s">
        <v>18</v>
      </c>
      <c r="D9" t="s">
        <v>22</v>
      </c>
      <c r="E9">
        <v>8</v>
      </c>
      <c r="F9">
        <v>1</v>
      </c>
      <c r="G9" s="1">
        <v>46226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>
      <selection activeCell="E6" sqref="E6"/>
    </sheetView>
  </sheetViews>
  <sheetFormatPr baseColWidth="10" defaultColWidth="8.83203125" defaultRowHeight="15"/>
  <cols>
    <col min="1" max="1" width="8.5" style="3" bestFit="1" customWidth="1"/>
    <col min="2" max="2" width="10.5" style="3" bestFit="1" customWidth="1"/>
    <col min="3" max="3" width="11.83203125" style="3" hidden="1" customWidth="1"/>
    <col min="4" max="4" width="22.6640625" style="3" hidden="1" customWidth="1"/>
    <col min="5" max="5" width="8.5" style="3" bestFit="1" customWidth="1"/>
    <col min="6" max="6" width="15.83203125" style="3" bestFit="1" customWidth="1"/>
    <col min="7" max="7" width="15.6640625" style="3" bestFit="1" customWidth="1"/>
    <col min="8" max="8" width="10.5" style="3" bestFit="1" customWidth="1"/>
    <col min="9" max="9" width="17.5" style="3" customWidth="1"/>
    <col min="10" max="10" width="10.5" style="3" customWidth="1"/>
    <col min="11" max="11" width="8.83203125" style="3"/>
    <col min="12" max="12" width="14.33203125" style="3" customWidth="1"/>
    <col min="13" max="13" width="9.6640625" style="3" bestFit="1" customWidth="1"/>
    <col min="14" max="16384" width="8.83203125" style="3"/>
  </cols>
  <sheetData>
    <row r="1" spans="1:13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  <c r="G1" s="3" t="s">
        <v>266</v>
      </c>
      <c r="H1" s="3" t="s">
        <v>267</v>
      </c>
      <c r="I1" s="4" t="s">
        <v>268</v>
      </c>
      <c r="J1" s="3" t="s">
        <v>269</v>
      </c>
      <c r="K1" s="4" t="s">
        <v>270</v>
      </c>
      <c r="L1" s="4" t="s">
        <v>271</v>
      </c>
      <c r="M1" s="4" t="s">
        <v>272</v>
      </c>
    </row>
    <row r="2" spans="1:13">
      <c r="A2" s="3" t="s">
        <v>23</v>
      </c>
      <c r="B2" s="3" t="s">
        <v>72</v>
      </c>
      <c r="C2" s="3" t="s">
        <v>1</v>
      </c>
      <c r="D2" s="3" t="s">
        <v>19</v>
      </c>
      <c r="E2" s="3" t="s">
        <v>30</v>
      </c>
      <c r="F2" s="3" t="s">
        <v>66</v>
      </c>
      <c r="G2" s="3">
        <v>10</v>
      </c>
      <c r="H2" s="3" t="s">
        <v>89</v>
      </c>
      <c r="I2" s="3">
        <v>3</v>
      </c>
      <c r="J2" s="3">
        <v>0.5</v>
      </c>
      <c r="K2" s="3">
        <v>1</v>
      </c>
      <c r="L2" s="3">
        <v>12</v>
      </c>
      <c r="M2" s="6">
        <v>46226</v>
      </c>
    </row>
    <row r="3" spans="1:13">
      <c r="A3" s="3" t="s">
        <v>31</v>
      </c>
      <c r="B3" s="3" t="s">
        <v>74</v>
      </c>
      <c r="C3" s="3" t="s">
        <v>50</v>
      </c>
      <c r="D3" s="3" t="s">
        <v>19</v>
      </c>
      <c r="E3" s="3" t="s">
        <v>59</v>
      </c>
      <c r="F3" s="3" t="s">
        <v>66</v>
      </c>
      <c r="G3" s="3">
        <v>10</v>
      </c>
      <c r="H3" s="3" t="s">
        <v>89</v>
      </c>
      <c r="I3" s="4">
        <v>3</v>
      </c>
      <c r="J3" s="4">
        <v>0.5</v>
      </c>
      <c r="K3" s="3">
        <v>1</v>
      </c>
      <c r="L3" s="3">
        <v>13</v>
      </c>
      <c r="M3" s="6">
        <v>46226</v>
      </c>
    </row>
    <row r="4" spans="1:13">
      <c r="A4" s="3" t="s">
        <v>32</v>
      </c>
      <c r="B4" s="3" t="s">
        <v>75</v>
      </c>
      <c r="C4" s="3" t="s">
        <v>50</v>
      </c>
      <c r="D4" s="3" t="s">
        <v>19</v>
      </c>
      <c r="E4" s="3" t="s">
        <v>59</v>
      </c>
      <c r="F4" s="3" t="s">
        <v>67</v>
      </c>
      <c r="G4" s="3">
        <v>10</v>
      </c>
      <c r="H4" s="3" t="s">
        <v>89</v>
      </c>
      <c r="I4" s="4">
        <v>3</v>
      </c>
      <c r="J4" s="4">
        <v>0.4</v>
      </c>
      <c r="K4" s="3">
        <v>1</v>
      </c>
      <c r="L4" s="3">
        <v>20</v>
      </c>
      <c r="M4" s="6">
        <v>46226</v>
      </c>
    </row>
    <row r="5" spans="1:13">
      <c r="A5" s="3" t="s">
        <v>33</v>
      </c>
      <c r="B5" s="3" t="s">
        <v>73</v>
      </c>
      <c r="C5" s="3" t="s">
        <v>50</v>
      </c>
      <c r="D5" s="3" t="s">
        <v>19</v>
      </c>
      <c r="E5" s="3" t="s">
        <v>30</v>
      </c>
      <c r="F5" s="3" t="s">
        <v>68</v>
      </c>
      <c r="G5" s="3">
        <v>10</v>
      </c>
      <c r="H5" s="3" t="s">
        <v>90</v>
      </c>
      <c r="I5" s="3">
        <v>2</v>
      </c>
      <c r="J5" s="3">
        <v>0.3</v>
      </c>
      <c r="K5" s="3">
        <v>1</v>
      </c>
      <c r="L5" s="3">
        <v>21</v>
      </c>
      <c r="M5" s="6">
        <v>46226</v>
      </c>
    </row>
    <row r="6" spans="1:13">
      <c r="A6" s="3" t="s">
        <v>34</v>
      </c>
      <c r="B6" s="3" t="s">
        <v>76</v>
      </c>
      <c r="C6" s="3" t="s">
        <v>51</v>
      </c>
      <c r="D6" s="3" t="s">
        <v>19</v>
      </c>
      <c r="E6" s="3" t="s">
        <v>30</v>
      </c>
      <c r="F6" s="3" t="s">
        <v>69</v>
      </c>
      <c r="G6" s="3">
        <v>10</v>
      </c>
      <c r="H6" s="5" t="s">
        <v>100</v>
      </c>
      <c r="I6" s="4">
        <v>3</v>
      </c>
      <c r="J6" s="4">
        <v>1</v>
      </c>
      <c r="K6" s="3">
        <v>1</v>
      </c>
      <c r="L6" s="3">
        <v>1</v>
      </c>
      <c r="M6" s="6">
        <v>46226</v>
      </c>
    </row>
    <row r="7" spans="1:13">
      <c r="A7" s="3" t="s">
        <v>35</v>
      </c>
      <c r="B7" s="3" t="s">
        <v>77</v>
      </c>
      <c r="C7" s="3" t="s">
        <v>54</v>
      </c>
      <c r="D7" s="3" t="s">
        <v>20</v>
      </c>
      <c r="E7" s="3" t="s">
        <v>60</v>
      </c>
      <c r="F7" s="3" t="s">
        <v>68</v>
      </c>
      <c r="G7" s="3">
        <v>10</v>
      </c>
      <c r="H7" s="3" t="s">
        <v>91</v>
      </c>
      <c r="I7" s="4">
        <v>2</v>
      </c>
      <c r="J7" s="4">
        <v>0.7</v>
      </c>
      <c r="K7" s="3">
        <v>1</v>
      </c>
      <c r="L7" s="3">
        <v>9</v>
      </c>
      <c r="M7" s="6">
        <v>46226</v>
      </c>
    </row>
    <row r="8" spans="1:13">
      <c r="A8" s="3" t="s">
        <v>36</v>
      </c>
      <c r="B8" s="3" t="s">
        <v>78</v>
      </c>
      <c r="C8" s="3" t="s">
        <v>54</v>
      </c>
      <c r="D8" s="3" t="s">
        <v>20</v>
      </c>
      <c r="E8" s="3" t="s">
        <v>60</v>
      </c>
      <c r="F8" s="3" t="s">
        <v>68</v>
      </c>
      <c r="G8" s="3">
        <v>10</v>
      </c>
      <c r="H8" s="3" t="s">
        <v>92</v>
      </c>
      <c r="I8" s="4">
        <v>2</v>
      </c>
      <c r="J8" s="4">
        <v>0.5</v>
      </c>
      <c r="K8" s="3">
        <v>1</v>
      </c>
      <c r="L8" s="3">
        <v>14</v>
      </c>
      <c r="M8" s="6">
        <v>46226</v>
      </c>
    </row>
    <row r="9" spans="1:13">
      <c r="A9" s="3" t="s">
        <v>37</v>
      </c>
      <c r="B9" s="3" t="s">
        <v>79</v>
      </c>
      <c r="C9" s="3" t="s">
        <v>54</v>
      </c>
      <c r="D9" s="3" t="s">
        <v>20</v>
      </c>
      <c r="E9" s="3" t="s">
        <v>4</v>
      </c>
      <c r="F9" s="3" t="s">
        <v>66</v>
      </c>
      <c r="G9" s="3">
        <v>10</v>
      </c>
      <c r="H9" s="3" t="s">
        <v>204</v>
      </c>
      <c r="I9" s="4">
        <v>5</v>
      </c>
      <c r="J9" s="4">
        <v>1</v>
      </c>
      <c r="K9" s="3">
        <v>1</v>
      </c>
      <c r="L9" s="3">
        <v>2</v>
      </c>
      <c r="M9" s="6">
        <v>46226</v>
      </c>
    </row>
    <row r="10" spans="1:13">
      <c r="A10" s="3" t="s">
        <v>38</v>
      </c>
      <c r="B10" s="3" t="s">
        <v>52</v>
      </c>
      <c r="C10" s="3" t="s">
        <v>54</v>
      </c>
      <c r="D10" s="3" t="s">
        <v>20</v>
      </c>
      <c r="E10" s="3" t="s">
        <v>4</v>
      </c>
      <c r="F10" s="3" t="s">
        <v>66</v>
      </c>
      <c r="G10" s="3">
        <v>10</v>
      </c>
      <c r="H10" s="3" t="s">
        <v>91</v>
      </c>
      <c r="I10" s="4">
        <v>3</v>
      </c>
      <c r="J10" s="4">
        <v>0.8</v>
      </c>
      <c r="K10" s="3">
        <v>1</v>
      </c>
      <c r="L10" s="3">
        <v>7</v>
      </c>
      <c r="M10" s="6">
        <v>46226</v>
      </c>
    </row>
    <row r="11" spans="1:13">
      <c r="A11" s="3" t="s">
        <v>39</v>
      </c>
      <c r="B11" s="3" t="s">
        <v>80</v>
      </c>
      <c r="C11" s="3" t="s">
        <v>54</v>
      </c>
      <c r="D11" s="3" t="s">
        <v>20</v>
      </c>
      <c r="E11" s="3" t="s">
        <v>61</v>
      </c>
      <c r="F11" s="3" t="s">
        <v>68</v>
      </c>
      <c r="G11" s="3">
        <v>10</v>
      </c>
      <c r="H11" s="3" t="s">
        <v>91</v>
      </c>
      <c r="I11" s="4">
        <v>2</v>
      </c>
      <c r="J11" s="4">
        <v>0.7</v>
      </c>
      <c r="K11" s="3">
        <v>1</v>
      </c>
      <c r="L11" s="3">
        <v>10</v>
      </c>
      <c r="M11" s="6">
        <v>46226</v>
      </c>
    </row>
    <row r="12" spans="1:13">
      <c r="A12" s="3" t="s">
        <v>40</v>
      </c>
      <c r="B12" s="3" t="s">
        <v>81</v>
      </c>
      <c r="C12" s="3" t="s">
        <v>54</v>
      </c>
      <c r="D12" s="3" t="s">
        <v>20</v>
      </c>
      <c r="E12" s="3" t="s">
        <v>61</v>
      </c>
      <c r="F12" s="3" t="s">
        <v>68</v>
      </c>
      <c r="G12" s="3">
        <v>10</v>
      </c>
      <c r="H12" s="3" t="s">
        <v>92</v>
      </c>
      <c r="I12" s="4">
        <v>2</v>
      </c>
      <c r="J12" s="4">
        <v>0.5</v>
      </c>
      <c r="K12" s="3">
        <v>1</v>
      </c>
      <c r="L12" s="3">
        <v>15</v>
      </c>
      <c r="M12" s="6">
        <v>46226</v>
      </c>
    </row>
    <row r="13" spans="1:13">
      <c r="A13" s="3" t="s">
        <v>41</v>
      </c>
      <c r="B13" s="3" t="s">
        <v>82</v>
      </c>
      <c r="C13" s="3" t="s">
        <v>54</v>
      </c>
      <c r="D13" s="3" t="s">
        <v>20</v>
      </c>
      <c r="E13" s="3" t="s">
        <v>7</v>
      </c>
      <c r="F13" s="3" t="s">
        <v>66</v>
      </c>
      <c r="G13" s="3">
        <v>10</v>
      </c>
      <c r="H13" s="3" t="s">
        <v>204</v>
      </c>
      <c r="I13" s="4">
        <v>5</v>
      </c>
      <c r="J13" s="4">
        <v>1</v>
      </c>
      <c r="K13" s="3">
        <v>1</v>
      </c>
      <c r="L13" s="3">
        <v>3</v>
      </c>
      <c r="M13" s="6">
        <v>46226</v>
      </c>
    </row>
    <row r="14" spans="1:13">
      <c r="A14" s="3" t="s">
        <v>42</v>
      </c>
      <c r="B14" s="3" t="s">
        <v>53</v>
      </c>
      <c r="C14" s="3" t="s">
        <v>54</v>
      </c>
      <c r="D14" s="3" t="s">
        <v>20</v>
      </c>
      <c r="E14" s="3" t="s">
        <v>7</v>
      </c>
      <c r="F14" s="3" t="s">
        <v>66</v>
      </c>
      <c r="G14" s="3">
        <v>10</v>
      </c>
      <c r="H14" s="3" t="s">
        <v>93</v>
      </c>
      <c r="I14" s="4">
        <v>3</v>
      </c>
      <c r="J14" s="4">
        <v>0.8</v>
      </c>
      <c r="K14" s="3">
        <v>1</v>
      </c>
      <c r="L14" s="3">
        <v>8</v>
      </c>
      <c r="M14" s="6">
        <v>46226</v>
      </c>
    </row>
    <row r="15" spans="1:13">
      <c r="A15" s="3" t="s">
        <v>43</v>
      </c>
      <c r="B15" s="3" t="s">
        <v>83</v>
      </c>
      <c r="C15" s="3" t="s">
        <v>57</v>
      </c>
      <c r="D15" s="3" t="s">
        <v>21</v>
      </c>
      <c r="E15" s="3" t="s">
        <v>62</v>
      </c>
      <c r="F15" s="3" t="s">
        <v>68</v>
      </c>
      <c r="G15" s="3">
        <v>10</v>
      </c>
      <c r="H15" s="3" t="s">
        <v>203</v>
      </c>
      <c r="I15" s="4">
        <v>1</v>
      </c>
      <c r="J15" s="4">
        <v>0.7</v>
      </c>
      <c r="K15" s="3">
        <v>1</v>
      </c>
      <c r="L15" s="3">
        <v>11</v>
      </c>
      <c r="M15" s="6">
        <v>46226</v>
      </c>
    </row>
    <row r="16" spans="1:13">
      <c r="A16" s="3" t="s">
        <v>44</v>
      </c>
      <c r="B16" s="3" t="s">
        <v>84</v>
      </c>
      <c r="C16" s="3" t="s">
        <v>51</v>
      </c>
      <c r="D16" s="3" t="s">
        <v>21</v>
      </c>
      <c r="E16" s="3" t="s">
        <v>62</v>
      </c>
      <c r="F16" s="3" t="s">
        <v>66</v>
      </c>
      <c r="G16" s="3">
        <v>10</v>
      </c>
      <c r="H16" s="3" t="s">
        <v>205</v>
      </c>
      <c r="I16" s="4">
        <v>3</v>
      </c>
      <c r="J16" s="4">
        <v>0.5</v>
      </c>
      <c r="K16" s="3">
        <v>1</v>
      </c>
      <c r="L16" s="3">
        <v>16</v>
      </c>
      <c r="M16" s="6">
        <v>46226</v>
      </c>
    </row>
    <row r="17" spans="1:13">
      <c r="A17" s="3" t="s">
        <v>45</v>
      </c>
      <c r="B17" s="3" t="s">
        <v>85</v>
      </c>
      <c r="C17" s="3" t="s">
        <v>51</v>
      </c>
      <c r="D17" s="3" t="s">
        <v>21</v>
      </c>
      <c r="E17" s="3" t="s">
        <v>62</v>
      </c>
      <c r="F17" s="3" t="s">
        <v>69</v>
      </c>
      <c r="G17" s="3">
        <v>10</v>
      </c>
      <c r="H17" s="3" t="s">
        <v>94</v>
      </c>
      <c r="I17" s="4">
        <v>5</v>
      </c>
      <c r="J17" s="4">
        <v>1</v>
      </c>
      <c r="K17" s="3">
        <v>1</v>
      </c>
      <c r="L17" s="3">
        <v>5</v>
      </c>
      <c r="M17" s="6">
        <v>46226</v>
      </c>
    </row>
    <row r="18" spans="1:13">
      <c r="A18" s="3" t="s">
        <v>46</v>
      </c>
      <c r="B18" s="3" t="s">
        <v>86</v>
      </c>
      <c r="C18" s="3" t="s">
        <v>57</v>
      </c>
      <c r="D18" s="3" t="s">
        <v>21</v>
      </c>
      <c r="E18" s="3" t="s">
        <v>63</v>
      </c>
      <c r="F18" s="3" t="s">
        <v>66</v>
      </c>
      <c r="G18" s="3">
        <v>10</v>
      </c>
      <c r="H18" s="3" t="s">
        <v>93</v>
      </c>
      <c r="I18" s="4">
        <v>3</v>
      </c>
      <c r="J18" s="4">
        <v>0.5</v>
      </c>
      <c r="K18" s="3">
        <v>1</v>
      </c>
      <c r="L18" s="3">
        <v>17</v>
      </c>
      <c r="M18" s="6">
        <v>46226</v>
      </c>
    </row>
    <row r="19" spans="1:13">
      <c r="A19" s="3" t="s">
        <v>47</v>
      </c>
      <c r="B19" s="3" t="s">
        <v>87</v>
      </c>
      <c r="C19" s="3" t="s">
        <v>57</v>
      </c>
      <c r="D19" s="3" t="s">
        <v>21</v>
      </c>
      <c r="E19" s="3" t="s">
        <v>63</v>
      </c>
      <c r="F19" s="3" t="s">
        <v>66</v>
      </c>
      <c r="G19" s="3">
        <v>10</v>
      </c>
      <c r="H19" s="3" t="s">
        <v>93</v>
      </c>
      <c r="I19" s="4">
        <v>3</v>
      </c>
      <c r="J19" s="4">
        <v>0.5</v>
      </c>
      <c r="K19" s="3">
        <v>1</v>
      </c>
      <c r="L19" s="3">
        <v>18</v>
      </c>
      <c r="M19" s="6">
        <v>46226</v>
      </c>
    </row>
    <row r="20" spans="1:13">
      <c r="A20" s="3" t="s">
        <v>48</v>
      </c>
      <c r="B20" s="3" t="s">
        <v>88</v>
      </c>
      <c r="C20" s="3" t="s">
        <v>57</v>
      </c>
      <c r="D20" s="3" t="s">
        <v>21</v>
      </c>
      <c r="E20" s="3" t="s">
        <v>63</v>
      </c>
      <c r="F20" s="3" t="s">
        <v>69</v>
      </c>
      <c r="G20" s="3">
        <v>10</v>
      </c>
      <c r="H20" s="3" t="s">
        <v>93</v>
      </c>
      <c r="I20" s="4">
        <v>5</v>
      </c>
      <c r="J20" s="4">
        <v>1</v>
      </c>
      <c r="K20" s="3">
        <v>1</v>
      </c>
      <c r="L20" s="3">
        <v>4</v>
      </c>
      <c r="M20" s="6">
        <v>46226</v>
      </c>
    </row>
    <row r="21" spans="1:13">
      <c r="A21" s="3" t="s">
        <v>49</v>
      </c>
      <c r="B21" s="3" t="s">
        <v>55</v>
      </c>
      <c r="C21" s="3" t="s">
        <v>57</v>
      </c>
      <c r="D21" s="3" t="s">
        <v>21</v>
      </c>
      <c r="E21" s="3" t="s">
        <v>64</v>
      </c>
      <c r="F21" s="3" t="s">
        <v>68</v>
      </c>
      <c r="G21" s="3">
        <v>10</v>
      </c>
      <c r="H21" s="3" t="s">
        <v>95</v>
      </c>
      <c r="I21" s="4">
        <v>1</v>
      </c>
      <c r="J21" s="4">
        <v>0.2</v>
      </c>
      <c r="K21" s="3">
        <v>1</v>
      </c>
      <c r="L21" s="3">
        <v>22</v>
      </c>
      <c r="M21" s="6">
        <v>46226</v>
      </c>
    </row>
    <row r="22" spans="1:13">
      <c r="A22" s="3" t="s">
        <v>70</v>
      </c>
      <c r="B22" s="3" t="s">
        <v>56</v>
      </c>
      <c r="C22" s="3" t="s">
        <v>57</v>
      </c>
      <c r="D22" s="3" t="s">
        <v>21</v>
      </c>
      <c r="E22" s="3" t="s">
        <v>64</v>
      </c>
      <c r="F22" s="3" t="s">
        <v>69</v>
      </c>
      <c r="G22" s="3">
        <v>10</v>
      </c>
      <c r="H22" s="3" t="s">
        <v>96</v>
      </c>
      <c r="I22" s="4">
        <v>3</v>
      </c>
      <c r="J22" s="4">
        <v>0.5</v>
      </c>
      <c r="K22" s="3">
        <v>1</v>
      </c>
      <c r="L22" s="3">
        <v>19</v>
      </c>
      <c r="M22" s="6">
        <v>46226</v>
      </c>
    </row>
    <row r="23" spans="1:13">
      <c r="A23" s="3" t="s">
        <v>71</v>
      </c>
      <c r="B23" s="3" t="s">
        <v>22</v>
      </c>
      <c r="C23" s="3" t="s">
        <v>58</v>
      </c>
      <c r="D23" s="3" t="s">
        <v>22</v>
      </c>
      <c r="E23" s="3" t="s">
        <v>65</v>
      </c>
      <c r="F23" s="3" t="s">
        <v>66</v>
      </c>
      <c r="G23" s="3">
        <v>10</v>
      </c>
      <c r="H23" s="3" t="s">
        <v>206</v>
      </c>
      <c r="I23" s="4">
        <v>3</v>
      </c>
      <c r="J23" s="4">
        <v>1</v>
      </c>
      <c r="K23" s="3">
        <v>1</v>
      </c>
      <c r="L23" s="3">
        <v>6</v>
      </c>
      <c r="M23" s="6">
        <v>46226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471A-FA15-4853-BF5B-58ECDDC23F97}">
  <dimension ref="A1:J25"/>
  <sheetViews>
    <sheetView workbookViewId="0">
      <selection activeCell="G21" sqref="G21"/>
    </sheetView>
  </sheetViews>
  <sheetFormatPr baseColWidth="10" defaultColWidth="8.83203125" defaultRowHeight="15"/>
  <cols>
    <col min="1" max="1" width="6.1640625" bestFit="1" customWidth="1"/>
    <col min="2" max="2" width="28.5" bestFit="1" customWidth="1"/>
    <col min="3" max="3" width="10.83203125" bestFit="1" customWidth="1"/>
    <col min="4" max="4" width="9.6640625" bestFit="1" customWidth="1"/>
    <col min="5" max="5" width="10.6640625" bestFit="1" customWidth="1"/>
    <col min="6" max="6" width="13.1640625" bestFit="1" customWidth="1"/>
    <col min="7" max="7" width="11" bestFit="1" customWidth="1"/>
    <col min="8" max="8" width="16.6640625" bestFit="1" customWidth="1"/>
    <col min="9" max="9" width="11.1640625" bestFit="1" customWidth="1"/>
  </cols>
  <sheetData>
    <row r="1" spans="1:10">
      <c r="A1" t="s">
        <v>101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173</v>
      </c>
      <c r="J1" t="s">
        <v>174</v>
      </c>
    </row>
    <row r="2" spans="1:10">
      <c r="A2" t="s">
        <v>102</v>
      </c>
      <c r="B2" t="s">
        <v>137</v>
      </c>
      <c r="C2" t="s">
        <v>151</v>
      </c>
      <c r="D2" s="1">
        <v>46226</v>
      </c>
      <c r="E2" s="1">
        <v>47695</v>
      </c>
      <c r="F2">
        <v>3000</v>
      </c>
      <c r="G2" t="s">
        <v>97</v>
      </c>
      <c r="H2" t="s">
        <v>177</v>
      </c>
      <c r="I2" t="s">
        <v>185</v>
      </c>
      <c r="J2">
        <v>1</v>
      </c>
    </row>
    <row r="3" spans="1:10">
      <c r="A3" t="s">
        <v>176</v>
      </c>
      <c r="B3" t="s">
        <v>175</v>
      </c>
      <c r="C3" t="s">
        <v>151</v>
      </c>
      <c r="D3" s="1">
        <v>46226</v>
      </c>
      <c r="E3" s="1">
        <v>46599</v>
      </c>
      <c r="F3">
        <v>1500</v>
      </c>
      <c r="G3" t="s">
        <v>97</v>
      </c>
      <c r="H3" t="s">
        <v>178</v>
      </c>
      <c r="I3" t="s">
        <v>185</v>
      </c>
      <c r="J3">
        <v>1</v>
      </c>
    </row>
    <row r="4" spans="1:10">
      <c r="A4" t="s">
        <v>111</v>
      </c>
      <c r="B4" t="s">
        <v>138</v>
      </c>
      <c r="C4" t="s">
        <v>151</v>
      </c>
      <c r="D4" s="1">
        <v>46226</v>
      </c>
      <c r="E4" s="1">
        <v>47330</v>
      </c>
      <c r="F4">
        <v>1000</v>
      </c>
      <c r="G4" t="s">
        <v>97</v>
      </c>
      <c r="H4" t="s">
        <v>179</v>
      </c>
      <c r="I4" t="s">
        <v>186</v>
      </c>
      <c r="J4">
        <v>1</v>
      </c>
    </row>
    <row r="5" spans="1:10">
      <c r="A5" t="s">
        <v>114</v>
      </c>
      <c r="B5" t="s">
        <v>139</v>
      </c>
      <c r="C5" t="s">
        <v>151</v>
      </c>
      <c r="D5" s="1">
        <v>46226</v>
      </c>
      <c r="E5" s="1">
        <v>46248</v>
      </c>
      <c r="F5">
        <v>800</v>
      </c>
      <c r="G5" t="s">
        <v>97</v>
      </c>
      <c r="H5" t="s">
        <v>157</v>
      </c>
      <c r="I5" t="s">
        <v>186</v>
      </c>
      <c r="J5">
        <v>1</v>
      </c>
    </row>
    <row r="6" spans="1:10">
      <c r="A6" t="s">
        <v>115</v>
      </c>
      <c r="B6" t="s">
        <v>140</v>
      </c>
      <c r="C6" t="s">
        <v>151</v>
      </c>
      <c r="D6" s="1">
        <v>46264</v>
      </c>
      <c r="E6" s="1">
        <v>46295</v>
      </c>
      <c r="F6">
        <v>800</v>
      </c>
      <c r="G6" t="s">
        <v>155</v>
      </c>
      <c r="H6" t="s">
        <v>180</v>
      </c>
      <c r="I6" t="s">
        <v>186</v>
      </c>
      <c r="J6">
        <v>1</v>
      </c>
    </row>
    <row r="7" spans="1:10">
      <c r="A7" t="s">
        <v>116</v>
      </c>
      <c r="B7" t="s">
        <v>142</v>
      </c>
      <c r="C7" t="s">
        <v>151</v>
      </c>
      <c r="D7" s="1">
        <v>46248</v>
      </c>
      <c r="E7" s="1">
        <v>46326</v>
      </c>
      <c r="F7">
        <v>800</v>
      </c>
      <c r="G7" t="s">
        <v>155</v>
      </c>
      <c r="H7" t="s">
        <v>156</v>
      </c>
      <c r="I7" t="s">
        <v>186</v>
      </c>
      <c r="J7">
        <v>1</v>
      </c>
    </row>
    <row r="8" spans="1:10">
      <c r="A8" t="s">
        <v>118</v>
      </c>
      <c r="B8" t="s">
        <v>141</v>
      </c>
      <c r="C8" t="s">
        <v>151</v>
      </c>
      <c r="D8" s="1">
        <v>46296</v>
      </c>
      <c r="E8" s="1">
        <v>46661</v>
      </c>
      <c r="F8">
        <v>1200</v>
      </c>
      <c r="G8" t="s">
        <v>155</v>
      </c>
      <c r="H8" t="s">
        <v>181</v>
      </c>
      <c r="I8" t="s">
        <v>190</v>
      </c>
      <c r="J8">
        <v>100</v>
      </c>
    </row>
    <row r="9" spans="1:10">
      <c r="A9" t="s">
        <v>121</v>
      </c>
      <c r="B9" t="s">
        <v>122</v>
      </c>
      <c r="C9" t="s">
        <v>151</v>
      </c>
      <c r="D9" s="1">
        <v>46296</v>
      </c>
      <c r="E9" s="1">
        <v>46726</v>
      </c>
      <c r="F9">
        <v>1200</v>
      </c>
      <c r="G9" t="s">
        <v>155</v>
      </c>
      <c r="H9" t="s">
        <v>182</v>
      </c>
      <c r="I9" t="s">
        <v>190</v>
      </c>
      <c r="J9">
        <v>120</v>
      </c>
    </row>
    <row r="10" spans="1:10">
      <c r="A10" t="s">
        <v>123</v>
      </c>
      <c r="B10" t="s">
        <v>158</v>
      </c>
      <c r="C10" t="s">
        <v>151</v>
      </c>
      <c r="D10" s="1">
        <v>46226</v>
      </c>
      <c r="E10" s="1">
        <v>46387</v>
      </c>
      <c r="F10">
        <v>800</v>
      </c>
      <c r="G10" t="s">
        <v>97</v>
      </c>
      <c r="H10" t="s">
        <v>159</v>
      </c>
      <c r="I10" t="s">
        <v>187</v>
      </c>
      <c r="J10">
        <v>100</v>
      </c>
    </row>
    <row r="11" spans="1:10">
      <c r="A11" t="s">
        <v>125</v>
      </c>
      <c r="B11" t="s">
        <v>160</v>
      </c>
      <c r="C11" t="s">
        <v>151</v>
      </c>
      <c r="D11" s="1">
        <v>49341</v>
      </c>
      <c r="E11" s="1">
        <v>49706</v>
      </c>
      <c r="F11">
        <v>2000</v>
      </c>
      <c r="G11" t="s">
        <v>155</v>
      </c>
      <c r="H11" t="s">
        <v>183</v>
      </c>
      <c r="I11" t="s">
        <v>187</v>
      </c>
      <c r="J11">
        <v>1</v>
      </c>
    </row>
    <row r="12" spans="1:10">
      <c r="A12" t="s">
        <v>126</v>
      </c>
      <c r="B12" t="s">
        <v>152</v>
      </c>
      <c r="C12" t="s">
        <v>151</v>
      </c>
      <c r="D12" s="1">
        <v>46296</v>
      </c>
      <c r="E12" s="1">
        <v>47392</v>
      </c>
      <c r="F12">
        <v>2000</v>
      </c>
      <c r="G12" t="s">
        <v>155</v>
      </c>
      <c r="H12" t="s">
        <v>161</v>
      </c>
      <c r="I12" t="s">
        <v>186</v>
      </c>
      <c r="J12">
        <v>1</v>
      </c>
    </row>
    <row r="13" spans="1:10">
      <c r="A13" t="s">
        <v>129</v>
      </c>
      <c r="B13" t="s">
        <v>110</v>
      </c>
      <c r="C13" t="s">
        <v>154</v>
      </c>
      <c r="D13" s="1">
        <v>46226</v>
      </c>
      <c r="E13" s="1">
        <v>46266</v>
      </c>
      <c r="F13">
        <v>200</v>
      </c>
      <c r="G13" t="s">
        <v>97</v>
      </c>
      <c r="H13" t="s">
        <v>162</v>
      </c>
      <c r="I13" t="s">
        <v>27</v>
      </c>
      <c r="J13">
        <v>20</v>
      </c>
    </row>
    <row r="14" spans="1:10">
      <c r="A14" t="s">
        <v>131</v>
      </c>
      <c r="B14" t="s">
        <v>112</v>
      </c>
      <c r="C14" t="s">
        <v>154</v>
      </c>
      <c r="D14" s="1">
        <v>46226</v>
      </c>
      <c r="E14" s="1">
        <v>46266</v>
      </c>
      <c r="F14">
        <v>200</v>
      </c>
      <c r="G14" t="s">
        <v>97</v>
      </c>
      <c r="H14" t="s">
        <v>163</v>
      </c>
      <c r="I14" t="s">
        <v>27</v>
      </c>
      <c r="J14">
        <v>20</v>
      </c>
    </row>
    <row r="15" spans="1:10">
      <c r="A15" t="s">
        <v>133</v>
      </c>
      <c r="B15" t="s">
        <v>113</v>
      </c>
      <c r="C15" t="s">
        <v>154</v>
      </c>
      <c r="D15" s="1">
        <v>46226</v>
      </c>
      <c r="E15" s="1">
        <v>46249</v>
      </c>
      <c r="F15">
        <v>100</v>
      </c>
      <c r="G15" t="s">
        <v>97</v>
      </c>
      <c r="H15" t="s">
        <v>164</v>
      </c>
      <c r="I15" t="s">
        <v>27</v>
      </c>
      <c r="J15">
        <v>50</v>
      </c>
    </row>
    <row r="16" spans="1:10">
      <c r="A16" t="s">
        <v>135</v>
      </c>
      <c r="B16" t="s">
        <v>117</v>
      </c>
      <c r="C16" t="s">
        <v>154</v>
      </c>
      <c r="D16" s="1">
        <v>46226</v>
      </c>
      <c r="E16" s="1">
        <v>46249</v>
      </c>
      <c r="F16">
        <v>50</v>
      </c>
      <c r="G16" t="s">
        <v>97</v>
      </c>
      <c r="H16" t="s">
        <v>165</v>
      </c>
      <c r="I16" t="s">
        <v>27</v>
      </c>
      <c r="J16">
        <v>10</v>
      </c>
    </row>
    <row r="17" spans="1:10">
      <c r="A17" t="s">
        <v>143</v>
      </c>
      <c r="B17" t="s">
        <v>119</v>
      </c>
      <c r="C17" t="s">
        <v>154</v>
      </c>
      <c r="D17" s="1">
        <v>46226</v>
      </c>
      <c r="E17" s="1">
        <v>46237</v>
      </c>
      <c r="F17">
        <v>50</v>
      </c>
      <c r="G17" t="s">
        <v>97</v>
      </c>
      <c r="H17" t="s">
        <v>166</v>
      </c>
      <c r="I17" t="s">
        <v>186</v>
      </c>
      <c r="J17">
        <v>1</v>
      </c>
    </row>
    <row r="18" spans="1:10">
      <c r="A18" t="s">
        <v>144</v>
      </c>
      <c r="B18" t="s">
        <v>120</v>
      </c>
      <c r="C18" t="s">
        <v>154</v>
      </c>
      <c r="D18" s="1">
        <v>46226</v>
      </c>
      <c r="E18" s="1">
        <v>46320</v>
      </c>
      <c r="F18">
        <v>300</v>
      </c>
      <c r="G18" t="s">
        <v>155</v>
      </c>
      <c r="H18" t="s">
        <v>184</v>
      </c>
      <c r="I18" t="s">
        <v>190</v>
      </c>
      <c r="J18">
        <v>900</v>
      </c>
    </row>
    <row r="19" spans="1:10">
      <c r="A19" t="s">
        <v>145</v>
      </c>
      <c r="B19" t="s">
        <v>124</v>
      </c>
      <c r="C19" t="s">
        <v>154</v>
      </c>
      <c r="D19" s="1">
        <v>46226</v>
      </c>
      <c r="E19" s="1">
        <v>46327</v>
      </c>
      <c r="F19">
        <v>300</v>
      </c>
      <c r="G19" t="s">
        <v>97</v>
      </c>
      <c r="H19" t="s">
        <v>167</v>
      </c>
      <c r="I19" t="s">
        <v>186</v>
      </c>
      <c r="J19">
        <v>1</v>
      </c>
    </row>
    <row r="20" spans="1:10">
      <c r="A20" t="s">
        <v>146</v>
      </c>
      <c r="B20" t="s">
        <v>127</v>
      </c>
      <c r="C20" t="s">
        <v>154</v>
      </c>
      <c r="D20" s="1">
        <v>46226</v>
      </c>
      <c r="E20" s="1">
        <v>46296</v>
      </c>
      <c r="F20">
        <v>200</v>
      </c>
      <c r="G20" t="s">
        <v>97</v>
      </c>
      <c r="H20" t="s">
        <v>168</v>
      </c>
      <c r="I20" t="s">
        <v>27</v>
      </c>
      <c r="J20">
        <v>50</v>
      </c>
    </row>
    <row r="21" spans="1:10">
      <c r="A21" t="s">
        <v>147</v>
      </c>
      <c r="B21" t="s">
        <v>128</v>
      </c>
      <c r="C21" t="s">
        <v>154</v>
      </c>
      <c r="D21" s="1">
        <v>46226</v>
      </c>
      <c r="E21" s="1">
        <v>46296</v>
      </c>
      <c r="F21">
        <v>200</v>
      </c>
      <c r="G21" t="s">
        <v>155</v>
      </c>
      <c r="H21" t="s">
        <v>169</v>
      </c>
      <c r="I21" t="s">
        <v>27</v>
      </c>
      <c r="J21">
        <v>10</v>
      </c>
    </row>
    <row r="22" spans="1:10">
      <c r="A22" t="s">
        <v>148</v>
      </c>
      <c r="B22" t="s">
        <v>130</v>
      </c>
      <c r="C22" t="s">
        <v>154</v>
      </c>
      <c r="D22" s="1">
        <v>46226</v>
      </c>
      <c r="E22" s="1">
        <v>46244</v>
      </c>
      <c r="F22">
        <v>100</v>
      </c>
      <c r="G22" t="s">
        <v>97</v>
      </c>
      <c r="H22" t="s">
        <v>170</v>
      </c>
      <c r="I22" t="s">
        <v>188</v>
      </c>
      <c r="J22">
        <v>1</v>
      </c>
    </row>
    <row r="23" spans="1:10">
      <c r="A23" t="s">
        <v>149</v>
      </c>
      <c r="B23" t="s">
        <v>132</v>
      </c>
      <c r="C23" t="s">
        <v>154</v>
      </c>
      <c r="D23" s="1">
        <v>46226</v>
      </c>
      <c r="E23" s="1">
        <v>46265</v>
      </c>
      <c r="F23">
        <v>100</v>
      </c>
      <c r="G23" t="s">
        <v>155</v>
      </c>
      <c r="H23" t="s">
        <v>171</v>
      </c>
      <c r="I23" t="s">
        <v>188</v>
      </c>
      <c r="J23">
        <v>1</v>
      </c>
    </row>
    <row r="24" spans="1:10">
      <c r="A24" t="s">
        <v>150</v>
      </c>
      <c r="B24" t="s">
        <v>134</v>
      </c>
      <c r="C24" t="s">
        <v>154</v>
      </c>
      <c r="D24" s="1">
        <v>46226</v>
      </c>
      <c r="E24" s="1">
        <v>46295</v>
      </c>
      <c r="F24">
        <v>100</v>
      </c>
      <c r="G24" t="s">
        <v>155</v>
      </c>
      <c r="H24" t="s">
        <v>172</v>
      </c>
      <c r="I24" t="s">
        <v>188</v>
      </c>
      <c r="J24">
        <v>1</v>
      </c>
    </row>
    <row r="25" spans="1:10">
      <c r="A25" t="s">
        <v>153</v>
      </c>
      <c r="B25" t="s">
        <v>136</v>
      </c>
      <c r="C25" t="s">
        <v>154</v>
      </c>
      <c r="D25" s="1">
        <v>46234</v>
      </c>
      <c r="E25" s="1">
        <v>46265</v>
      </c>
      <c r="F25">
        <v>500</v>
      </c>
      <c r="G25" t="s">
        <v>155</v>
      </c>
      <c r="H25" t="s">
        <v>136</v>
      </c>
      <c r="I25" t="s">
        <v>189</v>
      </c>
      <c r="J25">
        <v>30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F9F0-8154-1B4A-AC10-30A2E94D4E6E}">
  <dimension ref="A1:I41"/>
  <sheetViews>
    <sheetView workbookViewId="0">
      <selection activeCell="J28" sqref="J28"/>
    </sheetView>
  </sheetViews>
  <sheetFormatPr baseColWidth="10" defaultRowHeight="15"/>
  <cols>
    <col min="1" max="1" width="10" bestFit="1" customWidth="1"/>
    <col min="2" max="9" width="8.33203125" bestFit="1" customWidth="1"/>
  </cols>
  <sheetData>
    <row r="1" spans="1:9">
      <c r="A1" t="s">
        <v>191</v>
      </c>
      <c r="B1" t="s">
        <v>0</v>
      </c>
      <c r="C1" t="s">
        <v>2</v>
      </c>
      <c r="D1" t="s">
        <v>4</v>
      </c>
      <c r="E1" t="s">
        <v>7</v>
      </c>
      <c r="F1" t="s">
        <v>9</v>
      </c>
      <c r="G1" t="s">
        <v>10</v>
      </c>
      <c r="H1" t="s">
        <v>13</v>
      </c>
      <c r="I1" t="s">
        <v>15</v>
      </c>
    </row>
    <row r="2" spans="1:9">
      <c r="A2" s="1">
        <v>46226</v>
      </c>
      <c r="B2">
        <v>21</v>
      </c>
      <c r="C2">
        <v>15</v>
      </c>
      <c r="D2">
        <v>14</v>
      </c>
      <c r="E2">
        <v>14</v>
      </c>
      <c r="F2">
        <v>15</v>
      </c>
      <c r="G2">
        <v>0</v>
      </c>
      <c r="H2">
        <v>2</v>
      </c>
      <c r="I2">
        <v>0</v>
      </c>
    </row>
    <row r="3" spans="1:9">
      <c r="A3" s="1">
        <v>46227</v>
      </c>
      <c r="B3">
        <v>6</v>
      </c>
      <c r="C3">
        <v>0</v>
      </c>
      <c r="D3">
        <v>38</v>
      </c>
      <c r="E3">
        <v>0</v>
      </c>
      <c r="F3">
        <v>15</v>
      </c>
      <c r="G3">
        <v>0</v>
      </c>
      <c r="H3">
        <v>2</v>
      </c>
      <c r="I3">
        <v>0</v>
      </c>
    </row>
    <row r="4" spans="1:9">
      <c r="A4" s="1">
        <v>46228</v>
      </c>
      <c r="B4">
        <v>6</v>
      </c>
      <c r="C4">
        <v>12</v>
      </c>
      <c r="D4">
        <v>14</v>
      </c>
      <c r="E4">
        <v>24</v>
      </c>
      <c r="F4">
        <v>0</v>
      </c>
      <c r="G4">
        <v>15</v>
      </c>
      <c r="H4">
        <v>2</v>
      </c>
      <c r="I4">
        <v>0</v>
      </c>
    </row>
    <row r="5" spans="1:9">
      <c r="A5" s="1">
        <v>46229</v>
      </c>
      <c r="B5">
        <v>15</v>
      </c>
      <c r="C5">
        <v>12</v>
      </c>
      <c r="D5">
        <v>0</v>
      </c>
      <c r="E5">
        <v>0</v>
      </c>
      <c r="F5">
        <v>0</v>
      </c>
      <c r="G5">
        <v>15</v>
      </c>
      <c r="H5">
        <v>17</v>
      </c>
      <c r="I5">
        <v>0</v>
      </c>
    </row>
    <row r="6" spans="1:9">
      <c r="A6" s="1">
        <v>46230</v>
      </c>
      <c r="B6">
        <v>6</v>
      </c>
      <c r="C6">
        <v>0</v>
      </c>
      <c r="D6">
        <v>14</v>
      </c>
      <c r="E6">
        <v>0</v>
      </c>
      <c r="F6">
        <v>15</v>
      </c>
      <c r="G6">
        <v>0</v>
      </c>
      <c r="H6">
        <v>2</v>
      </c>
      <c r="I6">
        <v>0</v>
      </c>
    </row>
    <row r="7" spans="1:9">
      <c r="A7" s="1">
        <v>46231</v>
      </c>
      <c r="B7">
        <v>30</v>
      </c>
      <c r="C7">
        <v>0</v>
      </c>
      <c r="D7">
        <v>14</v>
      </c>
      <c r="E7">
        <v>0</v>
      </c>
      <c r="F7">
        <v>0</v>
      </c>
      <c r="G7">
        <v>0</v>
      </c>
      <c r="H7">
        <v>2</v>
      </c>
      <c r="I7">
        <v>0</v>
      </c>
    </row>
    <row r="8" spans="1:9">
      <c r="A8" s="1">
        <v>46232</v>
      </c>
      <c r="B8">
        <v>30</v>
      </c>
      <c r="C8">
        <v>0</v>
      </c>
      <c r="D8">
        <v>10</v>
      </c>
      <c r="E8">
        <v>10</v>
      </c>
      <c r="F8">
        <v>0</v>
      </c>
      <c r="G8">
        <v>0</v>
      </c>
      <c r="H8">
        <v>2</v>
      </c>
      <c r="I8">
        <v>0</v>
      </c>
    </row>
    <row r="9" spans="1:9">
      <c r="A9" s="1">
        <v>46233</v>
      </c>
      <c r="B9">
        <v>30</v>
      </c>
      <c r="C9">
        <v>0</v>
      </c>
      <c r="D9">
        <v>10</v>
      </c>
      <c r="E9">
        <v>0</v>
      </c>
      <c r="F9">
        <v>0</v>
      </c>
      <c r="G9">
        <v>0</v>
      </c>
      <c r="H9">
        <v>2</v>
      </c>
      <c r="I9">
        <v>0</v>
      </c>
    </row>
    <row r="10" spans="1:9">
      <c r="A10" s="1">
        <v>46234</v>
      </c>
      <c r="B10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</row>
    <row r="11" spans="1:9">
      <c r="A11" s="1">
        <v>46235</v>
      </c>
      <c r="B11">
        <v>30</v>
      </c>
      <c r="C11">
        <v>0</v>
      </c>
      <c r="D11">
        <v>14</v>
      </c>
      <c r="E11">
        <v>0</v>
      </c>
      <c r="F11">
        <v>0</v>
      </c>
      <c r="G11">
        <v>15</v>
      </c>
      <c r="H11">
        <v>2</v>
      </c>
      <c r="I11">
        <v>0</v>
      </c>
    </row>
    <row r="12" spans="1:9">
      <c r="A12" s="1">
        <v>46236</v>
      </c>
      <c r="B12">
        <v>0</v>
      </c>
      <c r="C12">
        <v>0</v>
      </c>
      <c r="D12">
        <v>14</v>
      </c>
      <c r="E12">
        <v>0</v>
      </c>
      <c r="F12">
        <v>0</v>
      </c>
      <c r="G12">
        <v>15</v>
      </c>
      <c r="H12">
        <v>2</v>
      </c>
      <c r="I12">
        <v>0</v>
      </c>
    </row>
    <row r="13" spans="1:9">
      <c r="A13" s="1">
        <v>46237</v>
      </c>
      <c r="B13">
        <v>30</v>
      </c>
      <c r="C13">
        <v>0</v>
      </c>
      <c r="D13">
        <v>14</v>
      </c>
      <c r="E13">
        <v>0</v>
      </c>
      <c r="F13">
        <v>15</v>
      </c>
      <c r="G13">
        <v>0</v>
      </c>
      <c r="H13">
        <v>2</v>
      </c>
      <c r="I13">
        <v>0</v>
      </c>
    </row>
    <row r="14" spans="1:9">
      <c r="A14" s="1">
        <v>46238</v>
      </c>
      <c r="B14">
        <v>30</v>
      </c>
      <c r="C14">
        <v>0</v>
      </c>
      <c r="D14">
        <v>14</v>
      </c>
      <c r="E14">
        <v>10</v>
      </c>
      <c r="F14">
        <v>0</v>
      </c>
      <c r="G14">
        <v>0</v>
      </c>
      <c r="H14">
        <v>2</v>
      </c>
      <c r="I14">
        <v>0</v>
      </c>
    </row>
    <row r="15" spans="1:9">
      <c r="A15" s="1">
        <v>46239</v>
      </c>
      <c r="B15">
        <v>0</v>
      </c>
      <c r="C15">
        <v>0</v>
      </c>
      <c r="D15">
        <v>14</v>
      </c>
      <c r="E15">
        <v>24</v>
      </c>
      <c r="F15">
        <v>0</v>
      </c>
      <c r="G15">
        <v>0</v>
      </c>
      <c r="H15">
        <v>0</v>
      </c>
      <c r="I15">
        <v>0</v>
      </c>
    </row>
    <row r="16" spans="1:9">
      <c r="A16" s="1">
        <v>46240</v>
      </c>
      <c r="B16">
        <v>30</v>
      </c>
      <c r="C16">
        <v>0</v>
      </c>
      <c r="D16">
        <v>14</v>
      </c>
      <c r="E16">
        <v>34</v>
      </c>
      <c r="F16">
        <v>0</v>
      </c>
      <c r="G16">
        <v>0</v>
      </c>
      <c r="H16">
        <v>0</v>
      </c>
      <c r="I16">
        <v>0</v>
      </c>
    </row>
    <row r="17" spans="1:9">
      <c r="A17" s="1">
        <v>46241</v>
      </c>
      <c r="B17">
        <v>0</v>
      </c>
      <c r="C17">
        <v>0</v>
      </c>
      <c r="D17">
        <v>0</v>
      </c>
      <c r="E17">
        <v>10</v>
      </c>
      <c r="F17">
        <v>0</v>
      </c>
      <c r="G17">
        <v>0</v>
      </c>
      <c r="H17">
        <v>2</v>
      </c>
      <c r="I17">
        <v>0</v>
      </c>
    </row>
    <row r="18" spans="1:9">
      <c r="A18" s="1">
        <v>46242</v>
      </c>
      <c r="B18">
        <v>0</v>
      </c>
      <c r="C18">
        <v>0</v>
      </c>
      <c r="D18">
        <v>0</v>
      </c>
      <c r="E18">
        <v>10</v>
      </c>
      <c r="F18">
        <v>0</v>
      </c>
      <c r="G18">
        <v>15</v>
      </c>
      <c r="H18">
        <v>0</v>
      </c>
      <c r="I18">
        <v>0</v>
      </c>
    </row>
    <row r="19" spans="1:9">
      <c r="A19" s="1">
        <v>46243</v>
      </c>
      <c r="B19">
        <v>0</v>
      </c>
      <c r="C19">
        <v>0</v>
      </c>
      <c r="D19">
        <v>0</v>
      </c>
      <c r="E19">
        <v>10</v>
      </c>
      <c r="F19">
        <v>0</v>
      </c>
      <c r="G19">
        <v>0</v>
      </c>
      <c r="H19">
        <v>0</v>
      </c>
      <c r="I19">
        <v>30</v>
      </c>
    </row>
    <row r="20" spans="1:9">
      <c r="A20" s="1">
        <v>46244</v>
      </c>
      <c r="B20">
        <v>30</v>
      </c>
      <c r="C20">
        <v>0</v>
      </c>
      <c r="D20">
        <v>0</v>
      </c>
      <c r="E20">
        <v>10</v>
      </c>
      <c r="F20">
        <v>0</v>
      </c>
      <c r="G20">
        <v>15</v>
      </c>
      <c r="H20">
        <v>2</v>
      </c>
      <c r="I20">
        <v>30</v>
      </c>
    </row>
    <row r="21" spans="1:9">
      <c r="A21" s="1">
        <v>46245</v>
      </c>
      <c r="B21">
        <v>0</v>
      </c>
      <c r="C21">
        <v>0</v>
      </c>
      <c r="D21">
        <v>0</v>
      </c>
      <c r="E21">
        <v>0</v>
      </c>
      <c r="F21">
        <v>15</v>
      </c>
      <c r="G21">
        <v>0</v>
      </c>
      <c r="H21">
        <v>0</v>
      </c>
      <c r="I21">
        <v>0</v>
      </c>
    </row>
    <row r="22" spans="1:9">
      <c r="A22" s="1">
        <v>46246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46247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46248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46249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46250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46251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46252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46253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46254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46255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46256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46257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>
        <v>46258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46259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46260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46261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46262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46263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>
        <v>46264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46265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427361-7CA8-E94E-894A-E9F6436B6F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Character_Profile</vt:lpstr>
      <vt:lpstr>config</vt:lpstr>
      <vt:lpstr>Character_Status</vt:lpstr>
      <vt:lpstr>Input_2026_7</vt:lpstr>
      <vt:lpstr>Input_2026_8</vt:lpstr>
      <vt:lpstr>Skill_Master</vt:lpstr>
      <vt:lpstr>Task_Master</vt:lpstr>
      <vt:lpstr>Quest_Master</vt:lpstr>
      <vt:lpstr>EXP_Calculation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yen hao</dc:creator>
  <cp:lastModifiedBy>Jerry Chen</cp:lastModifiedBy>
  <dcterms:created xsi:type="dcterms:W3CDTF">2026-07-30T08:27:50Z</dcterms:created>
  <dcterms:modified xsi:type="dcterms:W3CDTF">2026-08-11T14:40:04Z</dcterms:modified>
</cp:coreProperties>
</file>